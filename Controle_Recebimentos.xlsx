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cebimentos" sheetId="2" state="visible" r:id="rId4"/>
    <sheet name="Cadastro de Clientes" sheetId="3" state="visible" r:id="rId5"/>
  </sheets>
  <definedNames>
    <definedName function="false" hidden="false" localSheetId="0" name="_xlnm.Print_Area" vbProcedure="false">Dashboard!$B$1:$T$50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3" authorId="0">
      <text>
        <r>
          <rPr>
            <sz val="10"/>
            <rFont val="Arial"/>
            <family val="2"/>
          </rPr>
          <t xml:space="preserve">Cliente nao consta no Cadastro de Clientes. Regiao/UF e Categoria deixadas em branco (nao forcei encaixe em cliente parecido). Confirmar cadastro deste cliente.</t>
        </r>
      </text>
    </comment>
    <comment ref="B45" authorId="0">
      <text>
        <r>
          <rPr>
            <sz val="10"/>
            <rFont val="Arial"/>
            <family val="2"/>
          </rPr>
          <t xml:space="preserve">Cliente nao consta no Cadastro de Clientes. Regiao/UF e Categoria deixadas em branco (nao forcei encaixe em cliente parecido). Confirmar cadastro deste cliente.</t>
        </r>
      </text>
    </comment>
    <comment ref="B88" authorId="0">
      <text>
        <r>
          <rPr>
            <sz val="10"/>
            <rFont val="Arial"/>
            <family val="2"/>
          </rPr>
          <t xml:space="preserve">Cliente nao consta no Cadastro de Clientes. Regiao/UF e Categoria deixadas em branco (nao forcei encaixe em cliente parecido). Confirmar cadastro deste cliente.</t>
        </r>
      </text>
    </comment>
    <comment ref="B103" authorId="0">
      <text>
        <r>
          <rPr>
            <sz val="10"/>
            <rFont val="Arial"/>
            <family val="2"/>
          </rPr>
          <t xml:space="preserve">Cliente nao consta no Cadastro de Clientes. Regiao/UF e Categoria deixadas em branco (nao forcei encaixe em cliente parecido). Confirmar cadastro deste cliente.</t>
        </r>
      </text>
    </comment>
  </commentList>
</comments>
</file>

<file path=xl/sharedStrings.xml><?xml version="1.0" encoding="utf-8"?>
<sst xmlns="http://schemas.openxmlformats.org/spreadsheetml/2006/main" count="967" uniqueCount="61">
  <si>
    <t xml:space="preserve">Dashboard — Recebimentos 1º Semestre 2026</t>
  </si>
  <si>
    <t xml:space="preserve">Distribuidora Aurora Ltda  ·  Janeiro a Junho de 2026  ·  Fonte: aba Recebimentos</t>
  </si>
  <si>
    <t xml:space="preserve">Total Recebido no Semestre</t>
  </si>
  <si>
    <t xml:space="preserve">Número de Recebimentos</t>
  </si>
  <si>
    <t xml:space="preserve">Ticket Médio</t>
  </si>
  <si>
    <t xml:space="preserve">Melhor Mês</t>
  </si>
  <si>
    <t xml:space="preserve">Maior Cliente</t>
  </si>
  <si>
    <t xml:space="preserve">Tabelas de apoio aos gráficos do Dashboard (fora da área de impressão — não ocultar)</t>
  </si>
  <si>
    <t xml:space="preserve">Mês</t>
  </si>
  <si>
    <t xml:space="preserve">Valor (R$)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</si>
  <si>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</si>
  <si>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</si>
  <si>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</si>
  <si>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</si>
  <si>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</si>
  <si>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</si>
  <si>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Região/UF</t>
  </si>
  <si>
    <t xml:space="preserve">Norte/PA</t>
  </si>
  <si>
    <t xml:space="preserve">Sudeste/SP</t>
  </si>
  <si>
    <t xml:space="preserve">Nordeste/PE</t>
  </si>
  <si>
    <t xml:space="preserve">Centro-Oeste/GO</t>
  </si>
  <si>
    <t xml:space="preserve">Sul/RS</t>
  </si>
  <si>
    <t xml:space="preserve">Nordeste/CE</t>
  </si>
  <si>
    <t xml:space="preserve">Centro-Oeste/MT</t>
  </si>
  <si>
    <t xml:space="preserve">Não identificado</t>
  </si>
  <si>
    <t xml:space="preserve">Sul/PR</t>
  </si>
  <si>
    <t xml:space="preserve">Norte/AM</t>
  </si>
  <si>
    <t xml:space="preserve">Categoria</t>
  </si>
  <si>
    <t xml:space="preserve">Hortifruti</t>
  </si>
  <si>
    <t xml:space="preserve">Bebidas</t>
  </si>
  <si>
    <t xml:space="preserve">Mercearia</t>
  </si>
  <si>
    <t xml:space="preserve">Congelados</t>
  </si>
  <si>
    <t xml:space="preserve">Higiene e Limpeza</t>
  </si>
  <si>
    <t xml:space="preserve">Cliente</t>
  </si>
  <si>
    <t xml:space="preserve">Supermercado Familia</t>
  </si>
  <si>
    <t xml:space="preserve">Adega Ponto do Vinho</t>
  </si>
  <si>
    <t xml:space="preserve">Atacado Uniao Comercial</t>
  </si>
  <si>
    <t xml:space="preserve">Hortifruti Natural</t>
  </si>
  <si>
    <t xml:space="preserve">Distribuidora Bebidas Lopes</t>
  </si>
  <si>
    <t xml:space="preserve">Rede Supermercados Mais</t>
  </si>
  <si>
    <t xml:space="preserve">Mercadao Central</t>
  </si>
  <si>
    <t xml:space="preserve">Frigorifico Vale Verde</t>
  </si>
  <si>
    <t xml:space="preserve">Rede Farmacias Popular</t>
  </si>
  <si>
    <t xml:space="preserve">Emporio Vila Nova Ltda</t>
  </si>
  <si>
    <t xml:space="preserve">Mercearia Sao Joaquim</t>
  </si>
  <si>
    <t xml:space="preserve">Padaria e Confeitaria Trigo de Ouro</t>
  </si>
  <si>
    <t xml:space="preserve">Bar e Restaurante Estrela do Sul</t>
  </si>
  <si>
    <t xml:space="preserve">Comercial Amazonas</t>
  </si>
  <si>
    <t xml:space="preserve">Distribuidora Aurora Ltda - Controle de Recebimentos</t>
  </si>
  <si>
    <t xml:space="preserve">1o semestre de 2026 (janeiro a junho)</t>
  </si>
  <si>
    <t xml:space="preserve">Data</t>
  </si>
  <si>
    <t xml:space="preserve">Forma de Pagamento</t>
  </si>
  <si>
    <t xml:space="preserve">Regiao/UF</t>
  </si>
  <si>
    <t xml:space="preserve">Boleto</t>
  </si>
  <si>
    <t xml:space="preserve">Pix</t>
  </si>
  <si>
    <t xml:space="preserve">Deposito</t>
  </si>
  <si>
    <t xml:space="preserve">Zaply</t>
  </si>
  <si>
    <t xml:space="preserve">Transferencia</t>
  </si>
  <si>
    <t xml:space="preserve">TED</t>
  </si>
  <si>
    <t xml:space="preserve">Cadastro de Clientes</t>
  </si>
  <si>
    <t xml:space="preserve">Base cadastral da Aurora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</si>
</sst>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#,##0"/>
    <numFmt numFmtId="167" formatCode="dd/mm/yyyy"/>
    <numFmt numFmtId="168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2"/>
    </font>
    <font>
      <b val="true"/>
      <sz val="7.5"/>
      <color rgb="FF262626"/>
      <name val="Arial"/>
      <family val="2"/>
    </font>
    <font>
      <sz val="8.5"/>
      <color rgb="FF262626"/>
      <name val="Arial"/>
      <family val="2"/>
    </font>
    <font>
      <sz val="10"/>
      <color rgb="FF000000"/>
      <name val="Calibri"/>
      <family val="2"/>
    </font>
    <font>
      <b val="true"/>
      <sz val="14"/>
      <color rgb="FF1F4E78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2E5C8A"/>
      </patternFill>
    </fill>
    <fill>
      <patternFill patternType="solid">
        <fgColor rgb="FF1F4E78"/>
        <bgColor rgb="FF2E5C8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B3B3B3"/>
      <rgbColor rgb="FF1F3864"/>
      <rgbColor rgb="FF2E8B57"/>
      <rgbColor rgb="FF003300"/>
      <rgbColor rgb="FF33330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Mês (Janeiro a Junho)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262626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Dashboard!$A$61:$A$66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Dashboard!$B$61:$B$66</c:f>
              <c:numCache>
                <c:formatCode>"R$ "#,##0.00</c:formatCode>
                <c:ptCount val="6"/>
                <c:pt idx="0">
                  <c:v>625659.11</c:v>
                </c:pt>
                <c:pt idx="1">
                  <c:v>661449.66</c:v>
                </c:pt>
                <c:pt idx="2">
                  <c:v>719121.93</c:v>
                </c:pt>
                <c:pt idx="3">
                  <c:v>864938.31</c:v>
                </c:pt>
                <c:pt idx="4">
                  <c:v>587578.29</c:v>
                </c:pt>
                <c:pt idx="5">
                  <c:v>741426.85</c:v>
                </c:pt>
              </c:numCache>
            </c:numRef>
          </c:val>
        </c:ser>
        <c:gapWidth val="35"/>
        <c:overlap val="0"/>
        <c:axId val="81393576"/>
        <c:axId val="20368606"/>
      </c:barChart>
      <c:catAx>
        <c:axId val="81393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262626"/>
                </a:solidFill>
                <a:latin typeface="Arial"/>
              </a:defRPr>
            </a:pPr>
          </a:p>
        </c:txPr>
        <c:crossAx val="20368606"/>
        <c:crosses val="autoZero"/>
        <c:auto val="1"/>
        <c:lblAlgn val="ctr"/>
        <c:lblOffset val="100"/>
        <c:noMultiLvlLbl val="0"/>
      </c:catAx>
      <c:valAx>
        <c:axId val="20368606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9357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262626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Dashboard!$A$70:$A$79</c:f>
              <c:strCache>
                <c:ptCount val="10"/>
                <c:pt idx="0">
                  <c:v>Norte/PA</c:v>
                </c:pt>
                <c:pt idx="1">
                  <c:v>Sudeste/SP</c:v>
                </c:pt>
                <c:pt idx="2">
                  <c:v>Nordeste/PE</c:v>
                </c:pt>
                <c:pt idx="3">
                  <c:v>Centro-Oeste/GO</c:v>
                </c:pt>
                <c:pt idx="4">
                  <c:v>Sul/RS</c:v>
                </c:pt>
                <c:pt idx="5">
                  <c:v>Nordeste/CE</c:v>
                </c:pt>
                <c:pt idx="6">
                  <c:v>Centro-Oeste/MT</c:v>
                </c:pt>
                <c:pt idx="7">
                  <c:v>Não identificado</c:v>
                </c:pt>
                <c:pt idx="8">
                  <c:v>Sul/PR</c:v>
                </c:pt>
                <c:pt idx="9">
                  <c:v>Norte/AM</c:v>
                </c:pt>
              </c:strCache>
            </c:strRef>
          </c:cat>
          <c:val>
            <c:numRef>
              <c:f>Dashboard!$B$70:$B$79</c:f>
              <c:numCache>
                <c:formatCode>"R$ "#,##0.00</c:formatCode>
                <c:ptCount val="10"/>
                <c:pt idx="0">
                  <c:v>1149147.31</c:v>
                </c:pt>
                <c:pt idx="1">
                  <c:v>948100.78</c:v>
                </c:pt>
                <c:pt idx="2">
                  <c:v>885660.97</c:v>
                </c:pt>
                <c:pt idx="3">
                  <c:v>494431.98</c:v>
                </c:pt>
                <c:pt idx="4">
                  <c:v>387431.18</c:v>
                </c:pt>
                <c:pt idx="5">
                  <c:v>143941.92</c:v>
                </c:pt>
                <c:pt idx="6">
                  <c:v>84883.24</c:v>
                </c:pt>
                <c:pt idx="7">
                  <c:v>58209.18</c:v>
                </c:pt>
                <c:pt idx="8">
                  <c:v>42199.5</c:v>
                </c:pt>
                <c:pt idx="9">
                  <c:v>6168.09</c:v>
                </c:pt>
              </c:numCache>
            </c:numRef>
          </c:val>
        </c:ser>
        <c:gapWidth val="35"/>
        <c:overlap val="0"/>
        <c:axId val="87901817"/>
        <c:axId val="40838963"/>
      </c:barChart>
      <c:catAx>
        <c:axId val="87901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262626"/>
                </a:solidFill>
                <a:latin typeface="Arial"/>
              </a:defRPr>
            </a:pPr>
          </a:p>
        </c:txPr>
        <c:crossAx val="40838963"/>
        <c:crosses val="autoZero"/>
        <c:auto val="1"/>
        <c:lblAlgn val="ctr"/>
        <c:lblOffset val="100"/>
        <c:noMultiLvlLbl val="0"/>
      </c:catAx>
      <c:valAx>
        <c:axId val="40838963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0181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f9000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262626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Dashboard!$A$83:$A$88</c:f>
              <c:strCache>
                <c:ptCount val="6"/>
                <c:pt idx="0">
                  <c:v>Hortifruti</c:v>
                </c:pt>
                <c:pt idx="1">
                  <c:v>Bebidas</c:v>
                </c:pt>
                <c:pt idx="2">
                  <c:v>Mercearia</c:v>
                </c:pt>
                <c:pt idx="3">
                  <c:v>Congelados</c:v>
                </c:pt>
                <c:pt idx="4">
                  <c:v>Não identificado</c:v>
                </c:pt>
                <c:pt idx="5">
                  <c:v>Higiene e Limpeza</c:v>
                </c:pt>
              </c:strCache>
            </c:strRef>
          </c:cat>
          <c:val>
            <c:numRef>
              <c:f>Dashboard!$B$83:$B$88</c:f>
              <c:numCache>
                <c:formatCode>"R$ "#,##0.00</c:formatCode>
                <c:ptCount val="6"/>
                <c:pt idx="0">
                  <c:v>1643579.29</c:v>
                </c:pt>
                <c:pt idx="1">
                  <c:v>1273092.15</c:v>
                </c:pt>
                <c:pt idx="2">
                  <c:v>882844.33</c:v>
                </c:pt>
                <c:pt idx="3">
                  <c:v>294081.61</c:v>
                </c:pt>
                <c:pt idx="4">
                  <c:v>58209.18</c:v>
                </c:pt>
                <c:pt idx="5">
                  <c:v>48367.59</c:v>
                </c:pt>
              </c:numCache>
            </c:numRef>
          </c:val>
        </c:ser>
        <c:gapWidth val="35"/>
        <c:overlap val="0"/>
        <c:axId val="70151008"/>
        <c:axId val="60684503"/>
      </c:barChart>
      <c:catAx>
        <c:axId val="70151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262626"/>
                </a:solidFill>
                <a:latin typeface="Arial"/>
              </a:defRPr>
            </a:pPr>
          </a:p>
        </c:txPr>
        <c:crossAx val="60684503"/>
        <c:crosses val="autoZero"/>
        <c:auto val="1"/>
        <c:lblAlgn val="ctr"/>
        <c:lblOffset val="100"/>
        <c:noMultiLvlLbl val="0"/>
      </c:catAx>
      <c:valAx>
        <c:axId val="60684503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5100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Ranking de Clientes (Maior para Menor)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&quot;R$ &quot;#,##0.0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262626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Dashboard!$A$92:$A$105</c:f>
              <c:strCache>
                <c:ptCount val="14"/>
                <c:pt idx="0">
                  <c:v>Supermercado Familia</c:v>
                </c:pt>
                <c:pt idx="1">
                  <c:v>Adega Ponto do Vinho</c:v>
                </c:pt>
                <c:pt idx="2">
                  <c:v>Atacado Uniao Comercial</c:v>
                </c:pt>
                <c:pt idx="3">
                  <c:v>Hortifruti Natural</c:v>
                </c:pt>
                <c:pt idx="4">
                  <c:v>Distribuidora Bebidas Lopes</c:v>
                </c:pt>
                <c:pt idx="5">
                  <c:v>Rede Supermercados Mais</c:v>
                </c:pt>
                <c:pt idx="6">
                  <c:v>Mercadao Central</c:v>
                </c:pt>
                <c:pt idx="7">
                  <c:v>Frigorifico Vale Verde</c:v>
                </c:pt>
                <c:pt idx="8">
                  <c:v>Rede Farmacias Popular</c:v>
                </c:pt>
                <c:pt idx="9">
                  <c:v>Emporio Vila Nova Ltda</c:v>
                </c:pt>
                <c:pt idx="10">
                  <c:v>Mercearia Sao Joaquim</c:v>
                </c:pt>
                <c:pt idx="11">
                  <c:v>Padaria e Confeitaria Trigo de Ouro</c:v>
                </c:pt>
                <c:pt idx="12">
                  <c:v>Bar e Restaurante Estrela do Sul</c:v>
                </c:pt>
                <c:pt idx="13">
                  <c:v>Comercial Amazonas</c:v>
                </c:pt>
              </c:strCache>
            </c:strRef>
          </c:cat>
          <c:val>
            <c:numRef>
              <c:f>Dashboard!$B$92:$B$105</c:f>
              <c:numCache>
                <c:formatCode>"R$ "#,##0.00</c:formatCode>
                <c:ptCount val="14"/>
                <c:pt idx="0">
                  <c:v>1149147.31</c:v>
                </c:pt>
                <c:pt idx="1">
                  <c:v>885660.97</c:v>
                </c:pt>
                <c:pt idx="2">
                  <c:v>738902.41</c:v>
                </c:pt>
                <c:pt idx="3">
                  <c:v>494431.98</c:v>
                </c:pt>
                <c:pt idx="4">
                  <c:v>387431.18</c:v>
                </c:pt>
                <c:pt idx="5">
                  <c:v>209198.37</c:v>
                </c:pt>
                <c:pt idx="6">
                  <c:v>143941.92</c:v>
                </c:pt>
                <c:pt idx="7">
                  <c:v>84883.24</c:v>
                </c:pt>
                <c:pt idx="8">
                  <c:v>42199.5</c:v>
                </c:pt>
                <c:pt idx="9">
                  <c:v>22271.71</c:v>
                </c:pt>
                <c:pt idx="10">
                  <c:v>20567.47</c:v>
                </c:pt>
                <c:pt idx="11">
                  <c:v>8330</c:v>
                </c:pt>
                <c:pt idx="12">
                  <c:v>7040</c:v>
                </c:pt>
                <c:pt idx="13">
                  <c:v>6168.09</c:v>
                </c:pt>
              </c:numCache>
            </c:numRef>
          </c:val>
        </c:ser>
        <c:gapWidth val="35"/>
        <c:overlap val="0"/>
        <c:axId val="16272999"/>
        <c:axId val="46014347"/>
      </c:barChart>
      <c:catAx>
        <c:axId val="1627299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262626"/>
                </a:solidFill>
                <a:latin typeface="Arial"/>
              </a:defRPr>
            </a:pPr>
          </a:p>
        </c:txPr>
        <c:crossAx val="46014347"/>
        <c:crosses val="autoZero"/>
        <c:auto val="1"/>
        <c:lblAlgn val="ctr"/>
        <c:lblOffset val="100"/>
        <c:noMultiLvlLbl val="0"/>
      </c:catAx>
      <c:valAx>
        <c:axId val="46014347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7299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425160</xdr:colOff>
      <xdr:row>25</xdr:row>
      <xdr:rowOff>73080</xdr:rowOff>
    </xdr:to>
    <xdr:graphicFrame>
      <xdr:nvGraphicFramePr>
        <xdr:cNvPr id="0" name="Chart 1"/>
        <xdr:cNvGraphicFramePr/>
      </xdr:nvGraphicFramePr>
      <xdr:xfrm>
        <a:off x="2748960" y="1924200"/>
        <a:ext cx="6839280" cy="331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18</xdr:col>
      <xdr:colOff>354960</xdr:colOff>
      <xdr:row>25</xdr:row>
      <xdr:rowOff>73080</xdr:rowOff>
    </xdr:to>
    <xdr:graphicFrame>
      <xdr:nvGraphicFramePr>
        <xdr:cNvPr id="1" name="Chart 2"/>
        <xdr:cNvGraphicFramePr/>
      </xdr:nvGraphicFramePr>
      <xdr:xfrm>
        <a:off x="10995840" y="1924200"/>
        <a:ext cx="6839280" cy="331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425160</xdr:colOff>
      <xdr:row>48</xdr:row>
      <xdr:rowOff>72720</xdr:rowOff>
    </xdr:to>
    <xdr:graphicFrame>
      <xdr:nvGraphicFramePr>
        <xdr:cNvPr id="2" name="Chart 3"/>
        <xdr:cNvGraphicFramePr/>
      </xdr:nvGraphicFramePr>
      <xdr:xfrm>
        <a:off x="2748960" y="6305400"/>
        <a:ext cx="6839280" cy="331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31</xdr:row>
      <xdr:rowOff>0</xdr:rowOff>
    </xdr:from>
    <xdr:to>
      <xdr:col>18</xdr:col>
      <xdr:colOff>354960</xdr:colOff>
      <xdr:row>48</xdr:row>
      <xdr:rowOff>72720</xdr:rowOff>
    </xdr:to>
    <xdr:graphicFrame>
      <xdr:nvGraphicFramePr>
        <xdr:cNvPr id="3" name="Chart 4"/>
        <xdr:cNvGraphicFramePr/>
      </xdr:nvGraphicFramePr>
      <xdr:xfrm>
        <a:off x="10995840" y="6305400"/>
        <a:ext cx="6839280" cy="331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9"/>
    <col collapsed="false" customWidth="true" hidden="false" outlineLevel="0" max="12" min="2" style="1" width="13"/>
    <col collapsed="false" customWidth="true" hidden="false" outlineLevel="0" max="20" min="13" style="1" width="11"/>
  </cols>
  <sheetData>
    <row r="1" customFormat="false" ht="31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8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4" hidden="false" customHeight="true" outlineLevel="0" collapsed="false">
      <c r="A4" s="2"/>
      <c r="B4" s="5" t="s">
        <v>2</v>
      </c>
      <c r="C4" s="5"/>
      <c r="D4" s="5" t="s">
        <v>3</v>
      </c>
      <c r="E4" s="5"/>
      <c r="F4" s="5" t="s">
        <v>4</v>
      </c>
      <c r="G4" s="5"/>
      <c r="H4" s="5" t="s">
        <v>5</v>
      </c>
      <c r="I4" s="5"/>
      <c r="J4" s="5" t="s">
        <v>6</v>
      </c>
      <c r="K4" s="5"/>
      <c r="L4" s="5"/>
      <c r="M4" s="2"/>
      <c r="N4" s="2"/>
      <c r="O4" s="2"/>
      <c r="P4" s="2"/>
      <c r="Q4" s="2"/>
      <c r="R4" s="2"/>
      <c r="S4" s="2"/>
      <c r="T4" s="2"/>
    </row>
    <row r="5" customFormat="false" ht="19.5" hidden="false" customHeight="true" outlineLevel="0" collapsed="false">
      <c r="A5" s="2"/>
      <c r="B5" s="6" t="n">
        <f aca="false">SUM(Recebimentos!$C$5:$C$224)</f>
        <v>4200174.15</v>
      </c>
      <c r="C5" s="6"/>
      <c r="D5" s="7" t="n">
        <f aca="false">COUNT(Recebimentos!$C$5:$C$224)</f>
        <v>220</v>
      </c>
      <c r="E5" s="7"/>
      <c r="F5" s="6" t="n">
        <f aca="false">IFERROR(B5/D5,0)</f>
        <v>19091.7006818182</v>
      </c>
      <c r="G5" s="6"/>
      <c r="H5" s="8" t="str">
        <f aca="false">INDEX($A$61:$A$66,MATCH(MAX($B$61:$B$66),$B$61:$B$66,0))</f>
        <v>Abril</v>
      </c>
      <c r="I5" s="8"/>
      <c r="J5" s="8" t="str">
        <f aca="false">INDEX($A$92:$A$105,MATCH(MAX($B$92:$B$105),$B$92:$B$105,0))</f>
        <v>Supermercado Familia</v>
      </c>
      <c r="K5" s="8"/>
      <c r="L5" s="8"/>
      <c r="M5" s="2"/>
      <c r="N5" s="2"/>
      <c r="O5" s="2"/>
      <c r="P5" s="2"/>
      <c r="Q5" s="2"/>
      <c r="R5" s="2"/>
      <c r="S5" s="2"/>
      <c r="T5" s="2"/>
    </row>
    <row r="6" customFormat="false" ht="19.5" hidden="false" customHeight="true" outlineLevel="0" collapsed="false">
      <c r="A6" s="2"/>
      <c r="B6" s="6"/>
      <c r="C6" s="6"/>
      <c r="D6" s="7"/>
      <c r="E6" s="7"/>
      <c r="F6" s="6"/>
      <c r="G6" s="6"/>
      <c r="H6" s="6" t="n">
        <f aca="false">MAX($B$61:$B$66)</f>
        <v>864938.31</v>
      </c>
      <c r="I6" s="6"/>
      <c r="J6" s="6" t="n">
        <f aca="false">MAX($B$92:$B$105)</f>
        <v>1149147.31</v>
      </c>
      <c r="K6" s="6"/>
      <c r="L6" s="6"/>
      <c r="M6" s="2"/>
      <c r="N6" s="2"/>
      <c r="O6" s="2"/>
      <c r="P6" s="2"/>
      <c r="Q6" s="2"/>
      <c r="R6" s="2"/>
      <c r="S6" s="2"/>
      <c r="T6" s="2"/>
    </row>
    <row r="7" customFormat="false" ht="19.5" hidden="false" customHeight="true" outlineLevel="0" collapsed="false">
      <c r="A7" s="2"/>
      <c r="B7" s="6"/>
      <c r="C7" s="6"/>
      <c r="D7" s="7"/>
      <c r="E7" s="7"/>
      <c r="F7" s="6"/>
      <c r="G7" s="6"/>
      <c r="H7" s="6"/>
      <c r="I7" s="6"/>
      <c r="J7" s="6"/>
      <c r="K7" s="6"/>
      <c r="L7" s="6"/>
      <c r="M7" s="2"/>
      <c r="N7" s="2"/>
      <c r="O7" s="2"/>
      <c r="P7" s="2"/>
      <c r="Q7" s="2"/>
      <c r="R7" s="2"/>
      <c r="S7" s="2"/>
      <c r="T7" s="2"/>
    </row>
    <row r="8" customFormat="false" ht="12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true" outlineLevel="0" collapsed="false">
      <c r="A59" s="9" t="s">
        <v>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true" outlineLevel="0" collapsed="false">
      <c r="A60" s="10" t="s">
        <v>8</v>
      </c>
      <c r="B60" s="10" t="s">
        <v>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true" outlineLevel="0" collapsed="false">
      <c r="A61" s="11" t="s">
        <v>10</v>
      </c>
      <c r="B61" s="12" t="n">
        <f aca="false">SUMPRODUCT((MONTH(Recebimentos!$A$5:$A$224)=1)*(YEAR(Recebimentos!$A$5:$A$224)=2026)*Recebimentos!$C$5:$C$224)</f>
        <v>625659.11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true" outlineLevel="0" collapsed="false">
      <c r="A62" s="11" t="s">
        <v>11</v>
      </c>
      <c r="B62" s="12" t="n">
        <f aca="false">SUMPRODUCT((MONTH(Recebimentos!$A$5:$A$224)=2)*(YEAR(Recebimentos!$A$5:$A$224)=2026)*Recebimentos!$C$5:$C$224)</f>
        <v>661449.66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true" outlineLevel="0" collapsed="false">
      <c r="A63" s="11" t="s">
        <v>12</v>
      </c>
      <c r="B63" s="12" t="n">
        <f aca="false">SUMPRODUCT((MONTH(Recebimentos!$A$5:$A$224)=3)*(YEAR(Recebimentos!$A$5:$A$224)=2026)*Recebimentos!$C$5:$C$224)</f>
        <v>719121.93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true" outlineLevel="0" collapsed="false">
      <c r="A64" s="11" t="s">
        <v>13</v>
      </c>
      <c r="B64" s="12" t="n">
        <f aca="false">SUMPRODUCT((MONTH(Recebimentos!$A$5:$A$224)=4)*(YEAR(Recebimentos!$A$5:$A$224)=2026)*Recebimentos!$C$5:$C$224)</f>
        <v>864938.31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true" outlineLevel="0" collapsed="false">
      <c r="A65" s="11" t="s">
        <v>14</v>
      </c>
      <c r="B65" s="12" t="n">
        <f aca="false">SUMPRODUCT((MONTH(Recebimentos!$A$5:$A$224)=5)*(YEAR(Recebimentos!$A$5:$A$224)=2026)*Recebimentos!$C$5:$C$224)</f>
        <v>587578.29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true" outlineLevel="0" collapsed="false">
      <c r="A66" s="11" t="s">
        <v>15</v>
      </c>
      <c r="B66" s="12" t="n">
        <f aca="false">SUMPRODUCT((MONTH(Recebimentos!$A$5:$A$224)=6)*(YEAR(Recebimentos!$A$5:$A$224)=2026)*Recebimentos!$C$5:$C$224)</f>
        <v>741426.85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true" outlineLevel="0" collapsed="false">
      <c r="A69" s="10" t="s">
        <v>16</v>
      </c>
      <c r="B69" s="10" t="s">
        <v>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true" outlineLevel="0" collapsed="false">
      <c r="A70" s="11" t="s">
        <v>17</v>
      </c>
      <c r="B70" s="12" t="n">
        <f aca="false">SUMIF(Recebimentos!$E$5:$E$224,A70,Recebimentos!$C$5:$C$224)</f>
        <v>1149147.31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true" outlineLevel="0" collapsed="false">
      <c r="A71" s="11" t="s">
        <v>18</v>
      </c>
      <c r="B71" s="12" t="n">
        <f aca="false">SUMIF(Recebimentos!$E$5:$E$224,A71,Recebimentos!$C$5:$C$224)</f>
        <v>948100.78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true" outlineLevel="0" collapsed="false">
      <c r="A72" s="11" t="s">
        <v>19</v>
      </c>
      <c r="B72" s="12" t="n">
        <f aca="false">SUMIF(Recebimentos!$E$5:$E$224,A72,Recebimentos!$C$5:$C$224)</f>
        <v>885660.97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true" outlineLevel="0" collapsed="false">
      <c r="A73" s="11" t="s">
        <v>20</v>
      </c>
      <c r="B73" s="12" t="n">
        <f aca="false">SUMIF(Recebimentos!$E$5:$E$224,A73,Recebimentos!$C$5:$C$224)</f>
        <v>494431.98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true" outlineLevel="0" collapsed="false">
      <c r="A74" s="11" t="s">
        <v>21</v>
      </c>
      <c r="B74" s="12" t="n">
        <f aca="false">SUMIF(Recebimentos!$E$5:$E$224,A74,Recebimentos!$C$5:$C$224)</f>
        <v>387431.18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true" outlineLevel="0" collapsed="false">
      <c r="A75" s="11" t="s">
        <v>22</v>
      </c>
      <c r="B75" s="12" t="n">
        <f aca="false">SUMIF(Recebimentos!$E$5:$E$224,A75,Recebimentos!$C$5:$C$224)</f>
        <v>143941.92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true" outlineLevel="0" collapsed="false">
      <c r="A76" s="11" t="s">
        <v>23</v>
      </c>
      <c r="B76" s="12" t="n">
        <f aca="false">SUMIF(Recebimentos!$E$5:$E$224,A76,Recebimentos!$C$5:$C$224)</f>
        <v>84883.24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true" outlineLevel="0" collapsed="false">
      <c r="A77" s="11" t="s">
        <v>24</v>
      </c>
      <c r="B77" s="12" t="n">
        <f aca="false">SUMPRODUCT((Recebimentos!$E$5:$E$224="")*Recebimentos!$C$5:$C$224)</f>
        <v>58209.18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true" outlineLevel="0" collapsed="false">
      <c r="A78" s="11" t="s">
        <v>25</v>
      </c>
      <c r="B78" s="12" t="n">
        <f aca="false">SUMIF(Recebimentos!$E$5:$E$224,A78,Recebimentos!$C$5:$C$224)</f>
        <v>42199.5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true" outlineLevel="0" collapsed="false">
      <c r="A79" s="11" t="s">
        <v>26</v>
      </c>
      <c r="B79" s="12" t="n">
        <f aca="false">SUMIF(Recebimentos!$E$5:$E$224,A79,Recebimentos!$C$5:$C$224)</f>
        <v>6168.09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true" outlineLevel="0" collapsed="false">
      <c r="A82" s="10" t="s">
        <v>27</v>
      </c>
      <c r="B82" s="10" t="s">
        <v>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true" outlineLevel="0" collapsed="false">
      <c r="A83" s="11" t="s">
        <v>28</v>
      </c>
      <c r="B83" s="12" t="n">
        <f aca="false">SUMIF(Recebimentos!$F$5:$F$224,A83,Recebimentos!$C$5:$C$224)</f>
        <v>1643579.29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true" outlineLevel="0" collapsed="false">
      <c r="A84" s="11" t="s">
        <v>29</v>
      </c>
      <c r="B84" s="12" t="n">
        <f aca="false">SUMIF(Recebimentos!$F$5:$F$224,A84,Recebimentos!$C$5:$C$224)</f>
        <v>1273092.15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true" outlineLevel="0" collapsed="false">
      <c r="A85" s="11" t="s">
        <v>30</v>
      </c>
      <c r="B85" s="12" t="n">
        <f aca="false">SUMIF(Recebimentos!$F$5:$F$224,A85,Recebimentos!$C$5:$C$224)</f>
        <v>882844.33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true" outlineLevel="0" collapsed="false">
      <c r="A86" s="11" t="s">
        <v>31</v>
      </c>
      <c r="B86" s="12" t="n">
        <f aca="false">SUMIF(Recebimentos!$F$5:$F$224,A86,Recebimentos!$C$5:$C$224)</f>
        <v>294081.61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true" outlineLevel="0" collapsed="false">
      <c r="A87" s="11" t="s">
        <v>24</v>
      </c>
      <c r="B87" s="12" t="n">
        <f aca="false">SUMPRODUCT((Recebimentos!$F$5:$F$224="")*Recebimentos!$C$5:$C$224)</f>
        <v>58209.18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true" outlineLevel="0" collapsed="false">
      <c r="A88" s="11" t="s">
        <v>32</v>
      </c>
      <c r="B88" s="12" t="n">
        <f aca="false">SUMIF(Recebimentos!$F$5:$F$224,A88,Recebimentos!$C$5:$C$224)</f>
        <v>48367.59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true" outlineLevel="0" collapsed="false">
      <c r="A91" s="10" t="s">
        <v>33</v>
      </c>
      <c r="B91" s="10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true" outlineLevel="0" collapsed="false">
      <c r="A92" s="11" t="s">
        <v>34</v>
      </c>
      <c r="B92" s="12" t="n">
        <f aca="false">SUMIF(Recebimentos!$B$5:$B$224,A92,Recebimentos!$C$5:$C$224)</f>
        <v>1149147.31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true" outlineLevel="0" collapsed="false">
      <c r="A93" s="11" t="s">
        <v>35</v>
      </c>
      <c r="B93" s="12" t="n">
        <f aca="false">SUMIF(Recebimentos!$B$5:$B$224,A93,Recebimentos!$C$5:$C$224)</f>
        <v>885660.97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true" outlineLevel="0" collapsed="false">
      <c r="A94" s="11" t="s">
        <v>36</v>
      </c>
      <c r="B94" s="12" t="n">
        <f aca="false">SUMIF(Recebimentos!$B$5:$B$224,A94,Recebimentos!$C$5:$C$224)</f>
        <v>738902.41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true" outlineLevel="0" collapsed="false">
      <c r="A95" s="11" t="s">
        <v>37</v>
      </c>
      <c r="B95" s="12" t="n">
        <f aca="false">SUMIF(Recebimentos!$B$5:$B$224,A95,Recebimentos!$C$5:$C$224)</f>
        <v>494431.98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true" outlineLevel="0" collapsed="false">
      <c r="A96" s="11" t="s">
        <v>38</v>
      </c>
      <c r="B96" s="12" t="n">
        <f aca="false">SUMIF(Recebimentos!$B$5:$B$224,A96,Recebimentos!$C$5:$C$224)</f>
        <v>387431.18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true" outlineLevel="0" collapsed="false">
      <c r="A97" s="11" t="s">
        <v>39</v>
      </c>
      <c r="B97" s="12" t="n">
        <f aca="false">SUMIF(Recebimentos!$B$5:$B$224,A97,Recebimentos!$C$5:$C$224)</f>
        <v>209198.37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true" outlineLevel="0" collapsed="false">
      <c r="A98" s="11" t="s">
        <v>40</v>
      </c>
      <c r="B98" s="12" t="n">
        <f aca="false">SUMIF(Recebimentos!$B$5:$B$224,A98,Recebimentos!$C$5:$C$224)</f>
        <v>143941.92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true" outlineLevel="0" collapsed="false">
      <c r="A99" s="11" t="s">
        <v>41</v>
      </c>
      <c r="B99" s="12" t="n">
        <f aca="false">SUMIF(Recebimentos!$B$5:$B$224,A99,Recebimentos!$C$5:$C$224)</f>
        <v>84883.24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true" outlineLevel="0" collapsed="false">
      <c r="A100" s="11" t="s">
        <v>42</v>
      </c>
      <c r="B100" s="12" t="n">
        <f aca="false">SUMIF(Recebimentos!$B$5:$B$224,A100,Recebimentos!$C$5:$C$224)</f>
        <v>42199.5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" hidden="false" customHeight="true" outlineLevel="0" collapsed="false">
      <c r="A101" s="11" t="s">
        <v>43</v>
      </c>
      <c r="B101" s="12" t="n">
        <f aca="false">SUMIF(Recebimentos!$B$5:$B$224,A101,Recebimentos!$C$5:$C$224)</f>
        <v>22271.71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" hidden="false" customHeight="true" outlineLevel="0" collapsed="false">
      <c r="A102" s="11" t="s">
        <v>44</v>
      </c>
      <c r="B102" s="12" t="n">
        <f aca="false">SUMIF(Recebimentos!$B$5:$B$224,A102,Recebimentos!$C$5:$C$224)</f>
        <v>20567.47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true" outlineLevel="0" collapsed="false">
      <c r="A103" s="11" t="s">
        <v>45</v>
      </c>
      <c r="B103" s="12" t="n">
        <f aca="false">SUMIF(Recebimentos!$B$5:$B$224,A103,Recebimentos!$C$5:$C$224)</f>
        <v>8330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true" outlineLevel="0" collapsed="false">
      <c r="A104" s="11" t="s">
        <v>46</v>
      </c>
      <c r="B104" s="12" t="n">
        <f aca="false">SUMIF(Recebimentos!$B$5:$B$224,A104,Recebimentos!$C$5:$C$224)</f>
        <v>7040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" hidden="false" customHeight="true" outlineLevel="0" collapsed="false">
      <c r="A105" s="11" t="s">
        <v>47</v>
      </c>
      <c r="B105" s="12" t="n">
        <f aca="false">SUMIF(Recebimentos!$B$5:$B$224,A105,Recebimentos!$C$5:$C$224)</f>
        <v>6168.09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</sheetData>
  <mergeCells count="14">
    <mergeCell ref="B1:T1"/>
    <mergeCell ref="B2:T2"/>
    <mergeCell ref="B4:C4"/>
    <mergeCell ref="D4:E4"/>
    <mergeCell ref="F4:G4"/>
    <mergeCell ref="H4:I4"/>
    <mergeCell ref="J4:L4"/>
    <mergeCell ref="B5:C7"/>
    <mergeCell ref="D5:E7"/>
    <mergeCell ref="F5:G7"/>
    <mergeCell ref="H5:I5"/>
    <mergeCell ref="J5:L5"/>
    <mergeCell ref="H6:I7"/>
    <mergeCell ref="J6:L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3" t="s">
        <v>48</v>
      </c>
    </row>
    <row r="2" customFormat="false" ht="15" hidden="false" customHeight="true" outlineLevel="0" collapsed="false">
      <c r="A2" s="14" t="s">
        <v>49</v>
      </c>
    </row>
    <row r="4" customFormat="false" ht="15" hidden="false" customHeight="true" outlineLevel="0" collapsed="false">
      <c r="A4" s="15" t="s">
        <v>50</v>
      </c>
      <c r="B4" s="15" t="s">
        <v>33</v>
      </c>
      <c r="C4" s="15" t="s">
        <v>9</v>
      </c>
      <c r="D4" s="15" t="s">
        <v>51</v>
      </c>
      <c r="E4" s="15" t="s">
        <v>52</v>
      </c>
      <c r="F4" s="15" t="s">
        <v>27</v>
      </c>
    </row>
    <row r="5" customFormat="false" ht="15" hidden="false" customHeight="true" outlineLevel="0" collapsed="false">
      <c r="A5" s="16" t="n">
        <v>46023</v>
      </c>
      <c r="B5" s="1" t="s">
        <v>36</v>
      </c>
      <c r="C5" s="17" t="n">
        <v>19870</v>
      </c>
      <c r="D5" s="1" t="s">
        <v>53</v>
      </c>
      <c r="E5" s="1" t="s">
        <v>18</v>
      </c>
      <c r="F5" s="1" t="s">
        <v>30</v>
      </c>
    </row>
    <row r="6" customFormat="false" ht="15" hidden="false" customHeight="true" outlineLevel="0" collapsed="false">
      <c r="A6" s="16" t="n">
        <v>46027</v>
      </c>
      <c r="B6" s="1" t="s">
        <v>34</v>
      </c>
      <c r="C6" s="17" t="n">
        <v>14870</v>
      </c>
      <c r="D6" s="1" t="s">
        <v>53</v>
      </c>
      <c r="E6" s="1" t="s">
        <v>17</v>
      </c>
      <c r="F6" s="1" t="s">
        <v>28</v>
      </c>
    </row>
    <row r="7" customFormat="false" ht="15" hidden="false" customHeight="true" outlineLevel="0" collapsed="false">
      <c r="A7" s="16" t="n">
        <v>46028</v>
      </c>
      <c r="B7" s="1" t="s">
        <v>37</v>
      </c>
      <c r="C7" s="17" t="n">
        <v>32588.48</v>
      </c>
      <c r="D7" s="1" t="s">
        <v>54</v>
      </c>
      <c r="E7" s="1" t="s">
        <v>20</v>
      </c>
      <c r="F7" s="1" t="s">
        <v>28</v>
      </c>
    </row>
    <row r="8" customFormat="false" ht="15" hidden="false" customHeight="true" outlineLevel="0" collapsed="false">
      <c r="A8" s="16" t="n">
        <v>46030</v>
      </c>
      <c r="B8" s="1" t="s">
        <v>38</v>
      </c>
      <c r="C8" s="17" t="n">
        <v>21750</v>
      </c>
      <c r="D8" s="1" t="s">
        <v>54</v>
      </c>
      <c r="E8" s="1" t="s">
        <v>21</v>
      </c>
      <c r="F8" s="1" t="s">
        <v>29</v>
      </c>
    </row>
    <row r="9" customFormat="false" ht="15" hidden="false" customHeight="true" outlineLevel="0" collapsed="false">
      <c r="A9" s="16" t="n">
        <v>46033</v>
      </c>
      <c r="B9" s="1" t="s">
        <v>35</v>
      </c>
      <c r="C9" s="17" t="n">
        <v>51323.96</v>
      </c>
      <c r="D9" s="1" t="s">
        <v>53</v>
      </c>
      <c r="E9" s="1" t="s">
        <v>19</v>
      </c>
      <c r="F9" s="1" t="s">
        <v>29</v>
      </c>
    </row>
    <row r="10" customFormat="false" ht="15" hidden="false" customHeight="true" outlineLevel="0" collapsed="false">
      <c r="A10" s="16" t="n">
        <v>46034</v>
      </c>
      <c r="B10" s="1" t="s">
        <v>37</v>
      </c>
      <c r="C10" s="17" t="n">
        <v>5350</v>
      </c>
      <c r="D10" s="1" t="s">
        <v>55</v>
      </c>
      <c r="E10" s="1" t="s">
        <v>20</v>
      </c>
      <c r="F10" s="1" t="s">
        <v>28</v>
      </c>
    </row>
    <row r="11" customFormat="false" ht="15" hidden="false" customHeight="true" outlineLevel="0" collapsed="false">
      <c r="A11" s="16" t="n">
        <v>46035</v>
      </c>
      <c r="B11" s="1" t="s">
        <v>42</v>
      </c>
      <c r="C11" s="17" t="n">
        <v>8179.8</v>
      </c>
      <c r="D11" s="1" t="s">
        <v>53</v>
      </c>
      <c r="E11" s="1" t="s">
        <v>25</v>
      </c>
      <c r="F11" s="1" t="s">
        <v>32</v>
      </c>
    </row>
    <row r="12" customFormat="false" ht="15" hidden="false" customHeight="true" outlineLevel="0" collapsed="false">
      <c r="A12" s="16" t="n">
        <v>46035</v>
      </c>
      <c r="B12" s="1" t="s">
        <v>36</v>
      </c>
      <c r="C12" s="17" t="n">
        <v>18200</v>
      </c>
      <c r="D12" s="1" t="s">
        <v>53</v>
      </c>
      <c r="E12" s="1" t="s">
        <v>18</v>
      </c>
      <c r="F12" s="1" t="s">
        <v>30</v>
      </c>
    </row>
    <row r="13" customFormat="false" ht="15" hidden="false" customHeight="true" outlineLevel="0" collapsed="false">
      <c r="A13" s="16" t="n">
        <v>46035</v>
      </c>
      <c r="B13" s="1" t="s">
        <v>34</v>
      </c>
      <c r="C13" s="17" t="n">
        <v>12800</v>
      </c>
      <c r="D13" s="1" t="s">
        <v>54</v>
      </c>
      <c r="E13" s="1" t="s">
        <v>17</v>
      </c>
      <c r="F13" s="1" t="s">
        <v>28</v>
      </c>
    </row>
    <row r="14" customFormat="false" ht="15" hidden="false" customHeight="true" outlineLevel="0" collapsed="false">
      <c r="A14" s="16" t="n">
        <v>46035</v>
      </c>
      <c r="B14" s="1" t="s">
        <v>34</v>
      </c>
      <c r="C14" s="17" t="n">
        <v>17910</v>
      </c>
      <c r="D14" s="1" t="s">
        <v>53</v>
      </c>
      <c r="E14" s="1" t="s">
        <v>17</v>
      </c>
      <c r="F14" s="1" t="s">
        <v>28</v>
      </c>
    </row>
    <row r="15" customFormat="false" ht="15" hidden="false" customHeight="true" outlineLevel="0" collapsed="false">
      <c r="A15" s="16" t="n">
        <v>46035</v>
      </c>
      <c r="B15" s="1" t="s">
        <v>39</v>
      </c>
      <c r="C15" s="17" t="n">
        <v>41510</v>
      </c>
      <c r="D15" s="1" t="s">
        <v>54</v>
      </c>
      <c r="E15" s="1" t="s">
        <v>18</v>
      </c>
      <c r="F15" s="1" t="s">
        <v>31</v>
      </c>
    </row>
    <row r="16" customFormat="false" ht="15" hidden="false" customHeight="true" outlineLevel="0" collapsed="false">
      <c r="A16" s="16" t="n">
        <v>46036</v>
      </c>
      <c r="B16" s="1" t="s">
        <v>40</v>
      </c>
      <c r="C16" s="17" t="n">
        <v>6510</v>
      </c>
      <c r="D16" s="1" t="s">
        <v>54</v>
      </c>
      <c r="E16" s="1" t="s">
        <v>22</v>
      </c>
      <c r="F16" s="1" t="s">
        <v>30</v>
      </c>
    </row>
    <row r="17" customFormat="false" ht="15" hidden="false" customHeight="true" outlineLevel="0" collapsed="false">
      <c r="A17" s="16" t="n">
        <v>46036</v>
      </c>
      <c r="B17" s="1" t="s">
        <v>35</v>
      </c>
      <c r="C17" s="17" t="n">
        <v>7481.72</v>
      </c>
      <c r="D17" s="1" t="s">
        <v>54</v>
      </c>
      <c r="E17" s="1" t="s">
        <v>19</v>
      </c>
      <c r="F17" s="1" t="s">
        <v>29</v>
      </c>
    </row>
    <row r="18" customFormat="false" ht="15" hidden="false" customHeight="true" outlineLevel="0" collapsed="false">
      <c r="A18" s="16" t="n">
        <v>46038</v>
      </c>
      <c r="B18" s="1" t="s">
        <v>38</v>
      </c>
      <c r="C18" s="17" t="n">
        <v>11250</v>
      </c>
      <c r="D18" s="1" t="s">
        <v>54</v>
      </c>
      <c r="E18" s="1" t="s">
        <v>21</v>
      </c>
      <c r="F18" s="1" t="s">
        <v>29</v>
      </c>
    </row>
    <row r="19" customFormat="false" ht="15" hidden="false" customHeight="true" outlineLevel="0" collapsed="false">
      <c r="A19" s="16" t="n">
        <v>46038</v>
      </c>
      <c r="B19" s="1" t="s">
        <v>38</v>
      </c>
      <c r="C19" s="17" t="n">
        <v>13230</v>
      </c>
      <c r="D19" s="1" t="s">
        <v>53</v>
      </c>
      <c r="E19" s="1" t="s">
        <v>21</v>
      </c>
      <c r="F19" s="1" t="s">
        <v>29</v>
      </c>
    </row>
    <row r="20" customFormat="false" ht="15" hidden="false" customHeight="true" outlineLevel="0" collapsed="false">
      <c r="A20" s="16" t="n">
        <v>46038</v>
      </c>
      <c r="B20" s="1" t="s">
        <v>34</v>
      </c>
      <c r="C20" s="17" t="n">
        <v>8040</v>
      </c>
      <c r="D20" s="1" t="s">
        <v>53</v>
      </c>
      <c r="E20" s="1" t="s">
        <v>17</v>
      </c>
      <c r="F20" s="1" t="s">
        <v>28</v>
      </c>
    </row>
    <row r="21" customFormat="false" ht="15" hidden="false" customHeight="true" outlineLevel="0" collapsed="false">
      <c r="A21" s="16" t="n">
        <v>46038</v>
      </c>
      <c r="B21" s="1" t="s">
        <v>37</v>
      </c>
      <c r="C21" s="17" t="n">
        <v>48773.87</v>
      </c>
      <c r="D21" s="1" t="s">
        <v>54</v>
      </c>
      <c r="E21" s="1" t="s">
        <v>20</v>
      </c>
      <c r="F21" s="1" t="s">
        <v>28</v>
      </c>
    </row>
    <row r="22" customFormat="false" ht="15" hidden="false" customHeight="true" outlineLevel="0" collapsed="false">
      <c r="A22" s="16" t="n">
        <v>46041</v>
      </c>
      <c r="B22" s="1" t="s">
        <v>34</v>
      </c>
      <c r="C22" s="17" t="n">
        <v>53640</v>
      </c>
      <c r="D22" s="1" t="s">
        <v>54</v>
      </c>
      <c r="E22" s="1" t="s">
        <v>17</v>
      </c>
      <c r="F22" s="1" t="s">
        <v>28</v>
      </c>
    </row>
    <row r="23" customFormat="false" ht="15" hidden="false" customHeight="true" outlineLevel="0" collapsed="false">
      <c r="A23" s="16" t="n">
        <v>46041</v>
      </c>
      <c r="B23" s="1" t="s">
        <v>38</v>
      </c>
      <c r="C23" s="17" t="n">
        <v>33440</v>
      </c>
      <c r="D23" s="1" t="s">
        <v>56</v>
      </c>
      <c r="E23" s="1" t="s">
        <v>21</v>
      </c>
      <c r="F23" s="1" t="s">
        <v>29</v>
      </c>
    </row>
    <row r="24" customFormat="false" ht="15" hidden="false" customHeight="true" outlineLevel="0" collapsed="false">
      <c r="A24" s="16" t="n">
        <v>46042</v>
      </c>
      <c r="B24" s="1" t="s">
        <v>40</v>
      </c>
      <c r="C24" s="17" t="n">
        <v>5740</v>
      </c>
      <c r="D24" s="1" t="s">
        <v>57</v>
      </c>
      <c r="E24" s="1" t="s">
        <v>22</v>
      </c>
      <c r="F24" s="1" t="s">
        <v>30</v>
      </c>
    </row>
    <row r="25" customFormat="false" ht="15" hidden="false" customHeight="true" outlineLevel="0" collapsed="false">
      <c r="A25" s="16" t="n">
        <v>46043</v>
      </c>
      <c r="B25" s="1" t="s">
        <v>40</v>
      </c>
      <c r="C25" s="17" t="n">
        <v>20530</v>
      </c>
      <c r="D25" s="1" t="s">
        <v>53</v>
      </c>
      <c r="E25" s="1" t="s">
        <v>22</v>
      </c>
      <c r="F25" s="1" t="s">
        <v>30</v>
      </c>
    </row>
    <row r="26" customFormat="false" ht="15" hidden="false" customHeight="true" outlineLevel="0" collapsed="false">
      <c r="A26" s="16" t="n">
        <v>46045</v>
      </c>
      <c r="B26" s="1" t="s">
        <v>38</v>
      </c>
      <c r="C26" s="17" t="n">
        <v>8270.44</v>
      </c>
      <c r="D26" s="1" t="s">
        <v>53</v>
      </c>
      <c r="E26" s="1" t="s">
        <v>21</v>
      </c>
      <c r="F26" s="1" t="s">
        <v>29</v>
      </c>
    </row>
    <row r="27" customFormat="false" ht="15" hidden="false" customHeight="true" outlineLevel="0" collapsed="false">
      <c r="A27" s="16" t="n">
        <v>46048</v>
      </c>
      <c r="B27" s="1" t="s">
        <v>35</v>
      </c>
      <c r="C27" s="17" t="n">
        <v>11450</v>
      </c>
      <c r="D27" s="1" t="s">
        <v>53</v>
      </c>
      <c r="E27" s="1" t="s">
        <v>19</v>
      </c>
      <c r="F27" s="1" t="s">
        <v>29</v>
      </c>
    </row>
    <row r="28" customFormat="false" ht="15" hidden="false" customHeight="true" outlineLevel="0" collapsed="false">
      <c r="A28" s="16" t="n">
        <v>46048</v>
      </c>
      <c r="B28" s="1" t="s">
        <v>35</v>
      </c>
      <c r="C28" s="17" t="n">
        <v>12364.41</v>
      </c>
      <c r="D28" s="1" t="s">
        <v>54</v>
      </c>
      <c r="E28" s="1" t="s">
        <v>19</v>
      </c>
      <c r="F28" s="1" t="s">
        <v>29</v>
      </c>
    </row>
    <row r="29" customFormat="false" ht="15" hidden="false" customHeight="true" outlineLevel="0" collapsed="false">
      <c r="A29" s="16" t="n">
        <v>46048</v>
      </c>
      <c r="B29" s="1" t="s">
        <v>36</v>
      </c>
      <c r="C29" s="17" t="n">
        <v>10240</v>
      </c>
      <c r="D29" s="1" t="s">
        <v>54</v>
      </c>
      <c r="E29" s="1" t="s">
        <v>18</v>
      </c>
      <c r="F29" s="1" t="s">
        <v>30</v>
      </c>
    </row>
    <row r="30" customFormat="false" ht="15" hidden="false" customHeight="true" outlineLevel="0" collapsed="false">
      <c r="A30" s="16" t="n">
        <v>46048</v>
      </c>
      <c r="B30" s="1" t="s">
        <v>36</v>
      </c>
      <c r="C30" s="17" t="n">
        <v>7783.88</v>
      </c>
      <c r="D30" s="1" t="s">
        <v>53</v>
      </c>
      <c r="E30" s="1" t="s">
        <v>18</v>
      </c>
      <c r="F30" s="1" t="s">
        <v>30</v>
      </c>
    </row>
    <row r="31" customFormat="false" ht="15" hidden="false" customHeight="true" outlineLevel="0" collapsed="false">
      <c r="A31" s="16" t="n">
        <v>46051</v>
      </c>
      <c r="B31" s="1" t="s">
        <v>37</v>
      </c>
      <c r="C31" s="17" t="n">
        <v>8920</v>
      </c>
      <c r="D31" s="1" t="s">
        <v>53</v>
      </c>
      <c r="E31" s="1" t="s">
        <v>20</v>
      </c>
      <c r="F31" s="1" t="s">
        <v>28</v>
      </c>
    </row>
    <row r="32" customFormat="false" ht="15" hidden="false" customHeight="true" outlineLevel="0" collapsed="false">
      <c r="A32" s="16" t="n">
        <v>46051</v>
      </c>
      <c r="B32" s="1" t="s">
        <v>38</v>
      </c>
      <c r="C32" s="17" t="n">
        <v>13755.81</v>
      </c>
      <c r="D32" s="1" t="s">
        <v>53</v>
      </c>
      <c r="E32" s="1" t="s">
        <v>21</v>
      </c>
      <c r="F32" s="1" t="s">
        <v>29</v>
      </c>
    </row>
    <row r="33" customFormat="false" ht="15" hidden="false" customHeight="true" outlineLevel="0" collapsed="false">
      <c r="A33" s="16" t="n">
        <v>46051</v>
      </c>
      <c r="B33" s="1" t="s">
        <v>41</v>
      </c>
      <c r="C33" s="17" t="n">
        <v>5588.94</v>
      </c>
      <c r="D33" s="1" t="s">
        <v>54</v>
      </c>
      <c r="E33" s="1" t="s">
        <v>23</v>
      </c>
      <c r="F33" s="1" t="s">
        <v>31</v>
      </c>
    </row>
    <row r="34" customFormat="false" ht="15" hidden="false" customHeight="true" outlineLevel="0" collapsed="false">
      <c r="A34" s="16" t="n">
        <v>46051</v>
      </c>
      <c r="B34" s="1" t="s">
        <v>38</v>
      </c>
      <c r="C34" s="17" t="n">
        <v>7020</v>
      </c>
      <c r="D34" s="1" t="s">
        <v>54</v>
      </c>
      <c r="E34" s="1" t="s">
        <v>21</v>
      </c>
      <c r="F34" s="1" t="s">
        <v>29</v>
      </c>
    </row>
    <row r="35" customFormat="false" ht="15" hidden="false" customHeight="true" outlineLevel="0" collapsed="false">
      <c r="A35" s="16" t="n">
        <v>46052</v>
      </c>
      <c r="B35" s="1" t="s">
        <v>36</v>
      </c>
      <c r="C35" s="17" t="n">
        <v>16670</v>
      </c>
      <c r="D35" s="1" t="s">
        <v>54</v>
      </c>
      <c r="E35" s="1" t="s">
        <v>18</v>
      </c>
      <c r="F35" s="1" t="s">
        <v>30</v>
      </c>
    </row>
    <row r="36" customFormat="false" ht="15" hidden="false" customHeight="true" outlineLevel="0" collapsed="false">
      <c r="A36" s="16" t="n">
        <v>46052</v>
      </c>
      <c r="B36" s="1" t="s">
        <v>34</v>
      </c>
      <c r="C36" s="17" t="n">
        <v>69750</v>
      </c>
      <c r="D36" s="1" t="s">
        <v>54</v>
      </c>
      <c r="E36" s="1" t="s">
        <v>17</v>
      </c>
      <c r="F36" s="1" t="s">
        <v>28</v>
      </c>
    </row>
    <row r="37" customFormat="false" ht="15" hidden="false" customHeight="true" outlineLevel="0" collapsed="false">
      <c r="A37" s="16" t="n">
        <v>46052</v>
      </c>
      <c r="B37" s="1" t="s">
        <v>47</v>
      </c>
      <c r="C37" s="17" t="n">
        <v>857.8</v>
      </c>
      <c r="D37" s="1" t="s">
        <v>54</v>
      </c>
      <c r="E37" s="1" t="s">
        <v>26</v>
      </c>
      <c r="F37" s="1" t="s">
        <v>32</v>
      </c>
    </row>
    <row r="38" customFormat="false" ht="15" hidden="false" customHeight="true" outlineLevel="0" collapsed="false">
      <c r="A38" s="16" t="n">
        <v>46055</v>
      </c>
      <c r="B38" s="1" t="s">
        <v>47</v>
      </c>
      <c r="C38" s="17" t="n">
        <v>380</v>
      </c>
      <c r="D38" s="1" t="s">
        <v>53</v>
      </c>
      <c r="E38" s="1" t="s">
        <v>26</v>
      </c>
      <c r="F38" s="1" t="s">
        <v>32</v>
      </c>
    </row>
    <row r="39" customFormat="false" ht="15" hidden="false" customHeight="true" outlineLevel="0" collapsed="false">
      <c r="A39" s="16" t="n">
        <v>46056</v>
      </c>
      <c r="B39" s="1" t="s">
        <v>36</v>
      </c>
      <c r="C39" s="17" t="n">
        <v>11080</v>
      </c>
      <c r="D39" s="1" t="s">
        <v>53</v>
      </c>
      <c r="E39" s="1" t="s">
        <v>18</v>
      </c>
      <c r="F39" s="1" t="s">
        <v>30</v>
      </c>
    </row>
    <row r="40" customFormat="false" ht="15" hidden="false" customHeight="true" outlineLevel="0" collapsed="false">
      <c r="A40" s="16" t="n">
        <v>46056</v>
      </c>
      <c r="B40" s="1" t="s">
        <v>35</v>
      </c>
      <c r="C40" s="17" t="n">
        <v>4580</v>
      </c>
      <c r="D40" s="1" t="s">
        <v>53</v>
      </c>
      <c r="E40" s="1" t="s">
        <v>19</v>
      </c>
      <c r="F40" s="1" t="s">
        <v>29</v>
      </c>
    </row>
    <row r="41" customFormat="false" ht="15" hidden="false" customHeight="true" outlineLevel="0" collapsed="false">
      <c r="A41" s="16" t="n">
        <v>46058</v>
      </c>
      <c r="B41" s="1" t="s">
        <v>35</v>
      </c>
      <c r="C41" s="17" t="n">
        <v>92480</v>
      </c>
      <c r="D41" s="1" t="s">
        <v>54</v>
      </c>
      <c r="E41" s="1" t="s">
        <v>19</v>
      </c>
      <c r="F41" s="1" t="s">
        <v>29</v>
      </c>
    </row>
    <row r="42" customFormat="false" ht="15" hidden="false" customHeight="true" outlineLevel="0" collapsed="false">
      <c r="A42" s="16" t="n">
        <v>46058</v>
      </c>
      <c r="B42" s="1" t="s">
        <v>38</v>
      </c>
      <c r="C42" s="17" t="n">
        <v>14980</v>
      </c>
      <c r="D42" s="1" t="s">
        <v>53</v>
      </c>
      <c r="E42" s="1" t="s">
        <v>21</v>
      </c>
      <c r="F42" s="1" t="s">
        <v>29</v>
      </c>
    </row>
    <row r="43" customFormat="false" ht="15" hidden="false" customHeight="true" outlineLevel="0" collapsed="false">
      <c r="A43" s="16" t="n">
        <v>46059</v>
      </c>
      <c r="B43" s="18" t="s">
        <v>45</v>
      </c>
      <c r="C43" s="17" t="n">
        <v>8330</v>
      </c>
      <c r="D43" s="1" t="s">
        <v>55</v>
      </c>
    </row>
    <row r="44" customFormat="false" ht="15" hidden="false" customHeight="true" outlineLevel="0" collapsed="false">
      <c r="A44" s="16" t="n">
        <v>46062</v>
      </c>
      <c r="B44" s="1" t="s">
        <v>41</v>
      </c>
      <c r="C44" s="17" t="n">
        <v>6280</v>
      </c>
      <c r="D44" s="1" t="s">
        <v>54</v>
      </c>
      <c r="E44" s="1" t="s">
        <v>23</v>
      </c>
      <c r="F44" s="1" t="s">
        <v>31</v>
      </c>
    </row>
    <row r="45" customFormat="false" ht="15" hidden="false" customHeight="true" outlineLevel="0" collapsed="false">
      <c r="A45" s="16" t="n">
        <v>46064</v>
      </c>
      <c r="B45" s="18" t="s">
        <v>46</v>
      </c>
      <c r="C45" s="17" t="n">
        <v>7040</v>
      </c>
      <c r="D45" s="1" t="s">
        <v>54</v>
      </c>
    </row>
    <row r="46" customFormat="false" ht="15" hidden="false" customHeight="true" outlineLevel="0" collapsed="false">
      <c r="A46" s="16" t="n">
        <v>46065</v>
      </c>
      <c r="B46" s="1" t="s">
        <v>36</v>
      </c>
      <c r="C46" s="17" t="n">
        <v>22930</v>
      </c>
      <c r="D46" s="1" t="s">
        <v>54</v>
      </c>
      <c r="E46" s="1" t="s">
        <v>18</v>
      </c>
      <c r="F46" s="1" t="s">
        <v>30</v>
      </c>
    </row>
    <row r="47" customFormat="false" ht="15" hidden="false" customHeight="true" outlineLevel="0" collapsed="false">
      <c r="A47" s="16" t="n">
        <v>46066</v>
      </c>
      <c r="B47" s="1" t="s">
        <v>34</v>
      </c>
      <c r="C47" s="17" t="n">
        <v>14580</v>
      </c>
      <c r="D47" s="1" t="s">
        <v>53</v>
      </c>
      <c r="E47" s="1" t="s">
        <v>17</v>
      </c>
      <c r="F47" s="1" t="s">
        <v>28</v>
      </c>
    </row>
    <row r="48" customFormat="false" ht="15" hidden="false" customHeight="true" outlineLevel="0" collapsed="false">
      <c r="A48" s="16" t="n">
        <v>46066</v>
      </c>
      <c r="B48" s="1" t="s">
        <v>39</v>
      </c>
      <c r="C48" s="17" t="n">
        <v>13198.52</v>
      </c>
      <c r="D48" s="1" t="s">
        <v>54</v>
      </c>
      <c r="E48" s="1" t="s">
        <v>18</v>
      </c>
      <c r="F48" s="1" t="s">
        <v>31</v>
      </c>
    </row>
    <row r="49" customFormat="false" ht="15" hidden="false" customHeight="true" outlineLevel="0" collapsed="false">
      <c r="A49" s="16" t="n">
        <v>46066</v>
      </c>
      <c r="B49" s="1" t="s">
        <v>38</v>
      </c>
      <c r="C49" s="17" t="n">
        <v>29770</v>
      </c>
      <c r="D49" s="1" t="s">
        <v>54</v>
      </c>
      <c r="E49" s="1" t="s">
        <v>21</v>
      </c>
      <c r="F49" s="1" t="s">
        <v>29</v>
      </c>
    </row>
    <row r="50" customFormat="false" ht="15" hidden="false" customHeight="true" outlineLevel="0" collapsed="false">
      <c r="A50" s="16" t="n">
        <v>46068</v>
      </c>
      <c r="B50" s="1" t="s">
        <v>41</v>
      </c>
      <c r="C50" s="17" t="n">
        <v>4740</v>
      </c>
      <c r="D50" s="1" t="s">
        <v>54</v>
      </c>
      <c r="E50" s="1" t="s">
        <v>23</v>
      </c>
      <c r="F50" s="1" t="s">
        <v>31</v>
      </c>
    </row>
    <row r="51" customFormat="false" ht="15" hidden="false" customHeight="true" outlineLevel="0" collapsed="false">
      <c r="A51" s="16" t="n">
        <v>46068</v>
      </c>
      <c r="B51" s="1" t="s">
        <v>34</v>
      </c>
      <c r="C51" s="17" t="n">
        <v>9226.7</v>
      </c>
      <c r="D51" s="1" t="s">
        <v>57</v>
      </c>
      <c r="E51" s="1" t="s">
        <v>17</v>
      </c>
      <c r="F51" s="1" t="s">
        <v>28</v>
      </c>
    </row>
    <row r="52" customFormat="false" ht="15" hidden="false" customHeight="true" outlineLevel="0" collapsed="false">
      <c r="A52" s="16" t="n">
        <v>46069</v>
      </c>
      <c r="B52" s="1" t="s">
        <v>34</v>
      </c>
      <c r="C52" s="17" t="n">
        <v>20420</v>
      </c>
      <c r="D52" s="1" t="s">
        <v>53</v>
      </c>
      <c r="E52" s="1" t="s">
        <v>17</v>
      </c>
      <c r="F52" s="1" t="s">
        <v>28</v>
      </c>
    </row>
    <row r="53" customFormat="false" ht="15" hidden="false" customHeight="true" outlineLevel="0" collapsed="false">
      <c r="A53" s="16" t="n">
        <v>46069</v>
      </c>
      <c r="B53" s="1" t="s">
        <v>37</v>
      </c>
      <c r="C53" s="17" t="n">
        <v>9270</v>
      </c>
      <c r="D53" s="1" t="s">
        <v>55</v>
      </c>
      <c r="E53" s="1" t="s">
        <v>20</v>
      </c>
      <c r="F53" s="1" t="s">
        <v>28</v>
      </c>
    </row>
    <row r="54" customFormat="false" ht="15" hidden="false" customHeight="true" outlineLevel="0" collapsed="false">
      <c r="A54" s="16" t="n">
        <v>46070</v>
      </c>
      <c r="B54" s="1" t="s">
        <v>35</v>
      </c>
      <c r="C54" s="17" t="n">
        <v>9730</v>
      </c>
      <c r="D54" s="1" t="s">
        <v>53</v>
      </c>
      <c r="E54" s="1" t="s">
        <v>19</v>
      </c>
      <c r="F54" s="1" t="s">
        <v>29</v>
      </c>
    </row>
    <row r="55" customFormat="false" ht="15" hidden="false" customHeight="true" outlineLevel="0" collapsed="false">
      <c r="A55" s="16" t="n">
        <v>46070</v>
      </c>
      <c r="B55" s="1" t="s">
        <v>37</v>
      </c>
      <c r="C55" s="17" t="n">
        <v>13759.65</v>
      </c>
      <c r="D55" s="1" t="s">
        <v>53</v>
      </c>
      <c r="E55" s="1" t="s">
        <v>20</v>
      </c>
      <c r="F55" s="1" t="s">
        <v>28</v>
      </c>
    </row>
    <row r="56" customFormat="false" ht="15" hidden="false" customHeight="true" outlineLevel="0" collapsed="false">
      <c r="A56" s="16" t="n">
        <v>46070</v>
      </c>
      <c r="B56" s="1" t="s">
        <v>34</v>
      </c>
      <c r="C56" s="17" t="n">
        <v>12990</v>
      </c>
      <c r="D56" s="1" t="s">
        <v>53</v>
      </c>
      <c r="E56" s="1" t="s">
        <v>17</v>
      </c>
      <c r="F56" s="1" t="s">
        <v>28</v>
      </c>
    </row>
    <row r="57" customFormat="false" ht="15" hidden="false" customHeight="true" outlineLevel="0" collapsed="false">
      <c r="A57" s="16" t="n">
        <v>46070</v>
      </c>
      <c r="B57" s="1" t="s">
        <v>36</v>
      </c>
      <c r="C57" s="17" t="n">
        <v>65960</v>
      </c>
      <c r="D57" s="1" t="s">
        <v>58</v>
      </c>
      <c r="E57" s="1" t="s">
        <v>18</v>
      </c>
      <c r="F57" s="1" t="s">
        <v>30</v>
      </c>
    </row>
    <row r="58" customFormat="false" ht="15" hidden="false" customHeight="true" outlineLevel="0" collapsed="false">
      <c r="A58" s="16" t="n">
        <v>46070</v>
      </c>
      <c r="B58" s="1" t="s">
        <v>36</v>
      </c>
      <c r="C58" s="17" t="n">
        <v>15020</v>
      </c>
      <c r="D58" s="1" t="s">
        <v>53</v>
      </c>
      <c r="E58" s="1" t="s">
        <v>18</v>
      </c>
      <c r="F58" s="1" t="s">
        <v>30</v>
      </c>
    </row>
    <row r="59" customFormat="false" ht="15" hidden="false" customHeight="true" outlineLevel="0" collapsed="false">
      <c r="A59" s="16" t="n">
        <v>46071</v>
      </c>
      <c r="B59" s="1" t="s">
        <v>40</v>
      </c>
      <c r="C59" s="17" t="n">
        <v>10070</v>
      </c>
      <c r="D59" s="1" t="s">
        <v>54</v>
      </c>
      <c r="E59" s="1" t="s">
        <v>22</v>
      </c>
      <c r="F59" s="1" t="s">
        <v>30</v>
      </c>
    </row>
    <row r="60" customFormat="false" ht="15" hidden="false" customHeight="true" outlineLevel="0" collapsed="false">
      <c r="A60" s="16" t="n">
        <v>46072</v>
      </c>
      <c r="B60" s="1" t="s">
        <v>47</v>
      </c>
      <c r="C60" s="17" t="n">
        <v>500</v>
      </c>
      <c r="D60" s="1" t="s">
        <v>54</v>
      </c>
      <c r="E60" s="1" t="s">
        <v>26</v>
      </c>
      <c r="F60" s="1" t="s">
        <v>32</v>
      </c>
    </row>
    <row r="61" customFormat="false" ht="15" hidden="false" customHeight="true" outlineLevel="0" collapsed="false">
      <c r="A61" s="16" t="n">
        <v>46072</v>
      </c>
      <c r="B61" s="1" t="s">
        <v>35</v>
      </c>
      <c r="C61" s="17" t="n">
        <v>35190</v>
      </c>
      <c r="D61" s="1" t="s">
        <v>54</v>
      </c>
      <c r="E61" s="1" t="s">
        <v>19</v>
      </c>
      <c r="F61" s="1" t="s">
        <v>29</v>
      </c>
    </row>
    <row r="62" customFormat="false" ht="15" hidden="false" customHeight="true" outlineLevel="0" collapsed="false">
      <c r="A62" s="16" t="n">
        <v>46072</v>
      </c>
      <c r="B62" s="1" t="s">
        <v>35</v>
      </c>
      <c r="C62" s="17" t="n">
        <v>13025.02</v>
      </c>
      <c r="D62" s="1" t="s">
        <v>58</v>
      </c>
      <c r="E62" s="1" t="s">
        <v>19</v>
      </c>
      <c r="F62" s="1" t="s">
        <v>29</v>
      </c>
    </row>
    <row r="63" customFormat="false" ht="15" hidden="false" customHeight="true" outlineLevel="0" collapsed="false">
      <c r="A63" s="16" t="n">
        <v>46073</v>
      </c>
      <c r="B63" s="1" t="s">
        <v>39</v>
      </c>
      <c r="C63" s="17" t="n">
        <v>12040</v>
      </c>
      <c r="D63" s="1" t="s">
        <v>53</v>
      </c>
      <c r="E63" s="1" t="s">
        <v>18</v>
      </c>
      <c r="F63" s="1" t="s">
        <v>31</v>
      </c>
    </row>
    <row r="64" customFormat="false" ht="15" hidden="false" customHeight="true" outlineLevel="0" collapsed="false">
      <c r="A64" s="16" t="n">
        <v>46076</v>
      </c>
      <c r="B64" s="1" t="s">
        <v>35</v>
      </c>
      <c r="C64" s="17" t="n">
        <v>28631.18</v>
      </c>
      <c r="D64" s="1" t="s">
        <v>53</v>
      </c>
      <c r="E64" s="1" t="s">
        <v>19</v>
      </c>
      <c r="F64" s="1" t="s">
        <v>29</v>
      </c>
    </row>
    <row r="65" customFormat="false" ht="15" hidden="false" customHeight="true" outlineLevel="0" collapsed="false">
      <c r="A65" s="16" t="n">
        <v>46077</v>
      </c>
      <c r="B65" s="1" t="s">
        <v>34</v>
      </c>
      <c r="C65" s="17" t="n">
        <v>23368.59</v>
      </c>
      <c r="D65" s="1" t="s">
        <v>54</v>
      </c>
      <c r="E65" s="1" t="s">
        <v>17</v>
      </c>
      <c r="F65" s="1" t="s">
        <v>28</v>
      </c>
    </row>
    <row r="66" customFormat="false" ht="15" hidden="false" customHeight="true" outlineLevel="0" collapsed="false">
      <c r="A66" s="16" t="n">
        <v>46078</v>
      </c>
      <c r="B66" s="1" t="s">
        <v>37</v>
      </c>
      <c r="C66" s="17" t="n">
        <v>20430</v>
      </c>
      <c r="D66" s="1" t="s">
        <v>54</v>
      </c>
      <c r="E66" s="1" t="s">
        <v>20</v>
      </c>
      <c r="F66" s="1" t="s">
        <v>28</v>
      </c>
    </row>
    <row r="67" customFormat="false" ht="15" hidden="false" customHeight="true" outlineLevel="0" collapsed="false">
      <c r="A67" s="16" t="n">
        <v>46078</v>
      </c>
      <c r="B67" s="1" t="s">
        <v>37</v>
      </c>
      <c r="C67" s="17" t="n">
        <v>10540</v>
      </c>
      <c r="D67" s="1" t="s">
        <v>57</v>
      </c>
      <c r="E67" s="1" t="s">
        <v>20</v>
      </c>
      <c r="F67" s="1" t="s">
        <v>28</v>
      </c>
    </row>
    <row r="68" customFormat="false" ht="15" hidden="false" customHeight="true" outlineLevel="0" collapsed="false">
      <c r="A68" s="16" t="n">
        <v>46079</v>
      </c>
      <c r="B68" s="1" t="s">
        <v>38</v>
      </c>
      <c r="C68" s="17" t="n">
        <v>15000</v>
      </c>
      <c r="D68" s="1" t="s">
        <v>55</v>
      </c>
      <c r="E68" s="1" t="s">
        <v>21</v>
      </c>
      <c r="F68" s="1" t="s">
        <v>29</v>
      </c>
    </row>
    <row r="69" customFormat="false" ht="15" hidden="false" customHeight="true" outlineLevel="0" collapsed="false">
      <c r="A69" s="16" t="n">
        <v>46079</v>
      </c>
      <c r="B69" s="1" t="s">
        <v>40</v>
      </c>
      <c r="C69" s="17" t="n">
        <v>11910</v>
      </c>
      <c r="D69" s="1" t="s">
        <v>57</v>
      </c>
      <c r="E69" s="1" t="s">
        <v>22</v>
      </c>
      <c r="F69" s="1" t="s">
        <v>30</v>
      </c>
    </row>
    <row r="70" customFormat="false" ht="15" hidden="false" customHeight="true" outlineLevel="0" collapsed="false">
      <c r="A70" s="16" t="n">
        <v>46081</v>
      </c>
      <c r="B70" s="1" t="s">
        <v>35</v>
      </c>
      <c r="C70" s="17" t="n">
        <v>94000</v>
      </c>
      <c r="D70" s="1" t="s">
        <v>58</v>
      </c>
      <c r="E70" s="1" t="s">
        <v>19</v>
      </c>
      <c r="F70" s="1" t="s">
        <v>29</v>
      </c>
    </row>
    <row r="71" customFormat="false" ht="15" hidden="false" customHeight="true" outlineLevel="0" collapsed="false">
      <c r="A71" s="16" t="n">
        <v>46084</v>
      </c>
      <c r="B71" s="1" t="s">
        <v>39</v>
      </c>
      <c r="C71" s="17" t="n">
        <v>13770</v>
      </c>
      <c r="D71" s="1" t="s">
        <v>54</v>
      </c>
      <c r="E71" s="1" t="s">
        <v>18</v>
      </c>
      <c r="F71" s="1" t="s">
        <v>31</v>
      </c>
    </row>
    <row r="72" customFormat="false" ht="15" hidden="false" customHeight="true" outlineLevel="0" collapsed="false">
      <c r="A72" s="16" t="n">
        <v>46086</v>
      </c>
      <c r="B72" s="1" t="s">
        <v>42</v>
      </c>
      <c r="C72" s="17" t="n">
        <v>2450</v>
      </c>
      <c r="D72" s="1" t="s">
        <v>54</v>
      </c>
      <c r="E72" s="1" t="s">
        <v>25</v>
      </c>
      <c r="F72" s="1" t="s">
        <v>32</v>
      </c>
    </row>
    <row r="73" customFormat="false" ht="15" hidden="false" customHeight="true" outlineLevel="0" collapsed="false">
      <c r="A73" s="16" t="n">
        <v>46087</v>
      </c>
      <c r="B73" s="1" t="s">
        <v>34</v>
      </c>
      <c r="C73" s="17" t="n">
        <v>41650</v>
      </c>
      <c r="D73" s="1" t="s">
        <v>53</v>
      </c>
      <c r="E73" s="1" t="s">
        <v>17</v>
      </c>
      <c r="F73" s="1" t="s">
        <v>28</v>
      </c>
    </row>
    <row r="74" customFormat="false" ht="15" hidden="false" customHeight="true" outlineLevel="0" collapsed="false">
      <c r="A74" s="16" t="n">
        <v>46089</v>
      </c>
      <c r="B74" s="1" t="s">
        <v>35</v>
      </c>
      <c r="C74" s="17" t="n">
        <v>12580</v>
      </c>
      <c r="D74" s="1" t="s">
        <v>58</v>
      </c>
      <c r="E74" s="1" t="s">
        <v>19</v>
      </c>
      <c r="F74" s="1" t="s">
        <v>29</v>
      </c>
    </row>
    <row r="75" customFormat="false" ht="15" hidden="false" customHeight="true" outlineLevel="0" collapsed="false">
      <c r="A75" s="16" t="n">
        <v>46091</v>
      </c>
      <c r="B75" s="1" t="s">
        <v>42</v>
      </c>
      <c r="C75" s="17" t="n">
        <v>1890</v>
      </c>
      <c r="D75" s="1" t="s">
        <v>54</v>
      </c>
      <c r="E75" s="1" t="s">
        <v>25</v>
      </c>
      <c r="F75" s="1" t="s">
        <v>32</v>
      </c>
    </row>
    <row r="76" customFormat="false" ht="15" hidden="false" customHeight="true" outlineLevel="0" collapsed="false">
      <c r="A76" s="16" t="n">
        <v>46092</v>
      </c>
      <c r="B76" s="1" t="s">
        <v>40</v>
      </c>
      <c r="C76" s="17" t="n">
        <v>3870</v>
      </c>
      <c r="D76" s="1" t="s">
        <v>54</v>
      </c>
      <c r="E76" s="1" t="s">
        <v>22</v>
      </c>
      <c r="F76" s="1" t="s">
        <v>30</v>
      </c>
    </row>
    <row r="77" customFormat="false" ht="15" hidden="false" customHeight="true" outlineLevel="0" collapsed="false">
      <c r="A77" s="16" t="n">
        <v>46092</v>
      </c>
      <c r="B77" s="1" t="s">
        <v>34</v>
      </c>
      <c r="C77" s="17" t="n">
        <v>31990</v>
      </c>
      <c r="D77" s="1" t="s">
        <v>53</v>
      </c>
      <c r="E77" s="1" t="s">
        <v>17</v>
      </c>
      <c r="F77" s="1" t="s">
        <v>28</v>
      </c>
    </row>
    <row r="78" customFormat="false" ht="15" hidden="false" customHeight="true" outlineLevel="0" collapsed="false">
      <c r="A78" s="16" t="n">
        <v>46092</v>
      </c>
      <c r="B78" s="1" t="s">
        <v>35</v>
      </c>
      <c r="C78" s="17" t="n">
        <v>10960</v>
      </c>
      <c r="D78" s="1" t="s">
        <v>53</v>
      </c>
      <c r="E78" s="1" t="s">
        <v>19</v>
      </c>
      <c r="F78" s="1" t="s">
        <v>29</v>
      </c>
    </row>
    <row r="79" customFormat="false" ht="15" hidden="false" customHeight="true" outlineLevel="0" collapsed="false">
      <c r="A79" s="16" t="n">
        <v>46092</v>
      </c>
      <c r="B79" s="1" t="s">
        <v>36</v>
      </c>
      <c r="C79" s="17" t="n">
        <v>30131.94</v>
      </c>
      <c r="D79" s="1" t="s">
        <v>57</v>
      </c>
      <c r="E79" s="1" t="s">
        <v>18</v>
      </c>
      <c r="F79" s="1" t="s">
        <v>30</v>
      </c>
    </row>
    <row r="80" customFormat="false" ht="15" hidden="false" customHeight="true" outlineLevel="0" collapsed="false">
      <c r="A80" s="16" t="n">
        <v>46092</v>
      </c>
      <c r="B80" s="1" t="s">
        <v>39</v>
      </c>
      <c r="C80" s="17" t="n">
        <v>10440</v>
      </c>
      <c r="D80" s="1" t="s">
        <v>54</v>
      </c>
      <c r="E80" s="1" t="s">
        <v>18</v>
      </c>
      <c r="F80" s="1" t="s">
        <v>31</v>
      </c>
    </row>
    <row r="81" customFormat="false" ht="15" hidden="false" customHeight="true" outlineLevel="0" collapsed="false">
      <c r="A81" s="16" t="n">
        <v>46093</v>
      </c>
      <c r="B81" s="1" t="s">
        <v>37</v>
      </c>
      <c r="C81" s="17" t="n">
        <v>7750.03</v>
      </c>
      <c r="D81" s="1" t="s">
        <v>54</v>
      </c>
      <c r="E81" s="1" t="s">
        <v>20</v>
      </c>
      <c r="F81" s="1" t="s">
        <v>28</v>
      </c>
    </row>
    <row r="82" customFormat="false" ht="15" hidden="false" customHeight="true" outlineLevel="0" collapsed="false">
      <c r="A82" s="16" t="n">
        <v>46093</v>
      </c>
      <c r="B82" s="1" t="s">
        <v>37</v>
      </c>
      <c r="C82" s="17" t="n">
        <v>20910</v>
      </c>
      <c r="D82" s="1" t="s">
        <v>55</v>
      </c>
      <c r="E82" s="1" t="s">
        <v>20</v>
      </c>
      <c r="F82" s="1" t="s">
        <v>28</v>
      </c>
    </row>
    <row r="83" customFormat="false" ht="15" hidden="false" customHeight="true" outlineLevel="0" collapsed="false">
      <c r="A83" s="16" t="n">
        <v>46094</v>
      </c>
      <c r="B83" s="1" t="s">
        <v>35</v>
      </c>
      <c r="C83" s="17" t="n">
        <v>11612.3</v>
      </c>
      <c r="D83" s="1" t="s">
        <v>54</v>
      </c>
      <c r="E83" s="1" t="s">
        <v>19</v>
      </c>
      <c r="F83" s="1" t="s">
        <v>29</v>
      </c>
    </row>
    <row r="84" customFormat="false" ht="15" hidden="false" customHeight="true" outlineLevel="0" collapsed="false">
      <c r="A84" s="16" t="n">
        <v>46094</v>
      </c>
      <c r="B84" s="1" t="s">
        <v>36</v>
      </c>
      <c r="C84" s="17" t="n">
        <v>46221.56</v>
      </c>
      <c r="D84" s="1" t="s">
        <v>54</v>
      </c>
      <c r="E84" s="1" t="s">
        <v>18</v>
      </c>
      <c r="F84" s="1" t="s">
        <v>30</v>
      </c>
    </row>
    <row r="85" customFormat="false" ht="15" hidden="false" customHeight="true" outlineLevel="0" collapsed="false">
      <c r="A85" s="16" t="n">
        <v>46097</v>
      </c>
      <c r="B85" s="1" t="s">
        <v>36</v>
      </c>
      <c r="C85" s="17" t="n">
        <v>32690</v>
      </c>
      <c r="D85" s="1" t="s">
        <v>54</v>
      </c>
      <c r="E85" s="1" t="s">
        <v>18</v>
      </c>
      <c r="F85" s="1" t="s">
        <v>30</v>
      </c>
    </row>
    <row r="86" customFormat="false" ht="15" hidden="false" customHeight="true" outlineLevel="0" collapsed="false">
      <c r="A86" s="16" t="n">
        <v>46097</v>
      </c>
      <c r="B86" s="1" t="s">
        <v>37</v>
      </c>
      <c r="C86" s="17" t="n">
        <v>7490</v>
      </c>
      <c r="D86" s="1" t="s">
        <v>54</v>
      </c>
      <c r="E86" s="1" t="s">
        <v>20</v>
      </c>
      <c r="F86" s="1" t="s">
        <v>28</v>
      </c>
    </row>
    <row r="87" customFormat="false" ht="15" hidden="false" customHeight="true" outlineLevel="0" collapsed="false">
      <c r="A87" s="16" t="n">
        <v>46097</v>
      </c>
      <c r="B87" s="1" t="s">
        <v>42</v>
      </c>
      <c r="C87" s="17" t="n">
        <v>8650</v>
      </c>
      <c r="D87" s="1" t="s">
        <v>55</v>
      </c>
      <c r="E87" s="1" t="s">
        <v>25</v>
      </c>
      <c r="F87" s="1" t="s">
        <v>32</v>
      </c>
    </row>
    <row r="88" customFormat="false" ht="15" hidden="false" customHeight="true" outlineLevel="0" collapsed="false">
      <c r="A88" s="16" t="n">
        <v>46098</v>
      </c>
      <c r="B88" s="18" t="s">
        <v>43</v>
      </c>
      <c r="C88" s="17" t="n">
        <v>22271.71</v>
      </c>
      <c r="D88" s="1" t="s">
        <v>53</v>
      </c>
    </row>
    <row r="89" customFormat="false" ht="15" hidden="false" customHeight="true" outlineLevel="0" collapsed="false">
      <c r="A89" s="16" t="n">
        <v>46098</v>
      </c>
      <c r="B89" s="1" t="s">
        <v>41</v>
      </c>
      <c r="C89" s="17" t="n">
        <v>7260</v>
      </c>
      <c r="D89" s="1" t="s">
        <v>53</v>
      </c>
      <c r="E89" s="1" t="s">
        <v>23</v>
      </c>
      <c r="F89" s="1" t="s">
        <v>31</v>
      </c>
    </row>
    <row r="90" customFormat="false" ht="15" hidden="false" customHeight="true" outlineLevel="0" collapsed="false">
      <c r="A90" s="16" t="n">
        <v>46101</v>
      </c>
      <c r="B90" s="1" t="s">
        <v>35</v>
      </c>
      <c r="C90" s="17" t="n">
        <v>30356.99</v>
      </c>
      <c r="D90" s="1" t="s">
        <v>54</v>
      </c>
      <c r="E90" s="1" t="s">
        <v>19</v>
      </c>
      <c r="F90" s="1" t="s">
        <v>29</v>
      </c>
    </row>
    <row r="91" customFormat="false" ht="15" hidden="false" customHeight="true" outlineLevel="0" collapsed="false">
      <c r="A91" s="16" t="n">
        <v>46104</v>
      </c>
      <c r="B91" s="1" t="s">
        <v>41</v>
      </c>
      <c r="C91" s="17" t="n">
        <v>5330</v>
      </c>
      <c r="D91" s="1" t="s">
        <v>53</v>
      </c>
      <c r="E91" s="1" t="s">
        <v>23</v>
      </c>
      <c r="F91" s="1" t="s">
        <v>31</v>
      </c>
    </row>
    <row r="92" customFormat="false" ht="15" hidden="false" customHeight="true" outlineLevel="0" collapsed="false">
      <c r="A92" s="16" t="n">
        <v>46104</v>
      </c>
      <c r="B92" s="1" t="s">
        <v>37</v>
      </c>
      <c r="C92" s="17" t="n">
        <v>31290</v>
      </c>
      <c r="D92" s="1" t="s">
        <v>55</v>
      </c>
      <c r="E92" s="1" t="s">
        <v>20</v>
      </c>
      <c r="F92" s="1" t="s">
        <v>28</v>
      </c>
    </row>
    <row r="93" customFormat="false" ht="15" hidden="false" customHeight="true" outlineLevel="0" collapsed="false">
      <c r="A93" s="16" t="n">
        <v>46104</v>
      </c>
      <c r="B93" s="1" t="s">
        <v>47</v>
      </c>
      <c r="C93" s="17" t="n">
        <v>380</v>
      </c>
      <c r="D93" s="1" t="s">
        <v>54</v>
      </c>
      <c r="E93" s="1" t="s">
        <v>26</v>
      </c>
      <c r="F93" s="1" t="s">
        <v>32</v>
      </c>
    </row>
    <row r="94" customFormat="false" ht="15" hidden="false" customHeight="true" outlineLevel="0" collapsed="false">
      <c r="A94" s="16" t="n">
        <v>46105</v>
      </c>
      <c r="B94" s="1" t="s">
        <v>35</v>
      </c>
      <c r="C94" s="17" t="n">
        <v>18260</v>
      </c>
      <c r="D94" s="1" t="s">
        <v>54</v>
      </c>
      <c r="E94" s="1" t="s">
        <v>19</v>
      </c>
      <c r="F94" s="1" t="s">
        <v>29</v>
      </c>
    </row>
    <row r="95" customFormat="false" ht="15" hidden="false" customHeight="true" outlineLevel="0" collapsed="false">
      <c r="A95" s="16" t="n">
        <v>46105</v>
      </c>
      <c r="B95" s="1" t="s">
        <v>35</v>
      </c>
      <c r="C95" s="17" t="n">
        <v>7336.41</v>
      </c>
      <c r="D95" s="1" t="s">
        <v>54</v>
      </c>
      <c r="E95" s="1" t="s">
        <v>19</v>
      </c>
      <c r="F95" s="1" t="s">
        <v>29</v>
      </c>
    </row>
    <row r="96" customFormat="false" ht="15" hidden="false" customHeight="true" outlineLevel="0" collapsed="false">
      <c r="A96" s="16" t="n">
        <v>46106</v>
      </c>
      <c r="B96" s="1" t="s">
        <v>37</v>
      </c>
      <c r="C96" s="17" t="n">
        <v>26900</v>
      </c>
      <c r="D96" s="1" t="s">
        <v>54</v>
      </c>
      <c r="E96" s="1" t="s">
        <v>20</v>
      </c>
      <c r="F96" s="1" t="s">
        <v>28</v>
      </c>
    </row>
    <row r="97" customFormat="false" ht="15" hidden="false" customHeight="true" outlineLevel="0" collapsed="false">
      <c r="A97" s="16" t="n">
        <v>46107</v>
      </c>
      <c r="B97" s="1" t="s">
        <v>38</v>
      </c>
      <c r="C97" s="17" t="n">
        <v>14320</v>
      </c>
      <c r="D97" s="1" t="s">
        <v>54</v>
      </c>
      <c r="E97" s="1" t="s">
        <v>21</v>
      </c>
      <c r="F97" s="1" t="s">
        <v>29</v>
      </c>
    </row>
    <row r="98" customFormat="false" ht="15" hidden="false" customHeight="true" outlineLevel="0" collapsed="false">
      <c r="A98" s="16" t="n">
        <v>46107</v>
      </c>
      <c r="B98" s="1" t="s">
        <v>34</v>
      </c>
      <c r="C98" s="17" t="n">
        <v>9250</v>
      </c>
      <c r="D98" s="1" t="s">
        <v>53</v>
      </c>
      <c r="E98" s="1" t="s">
        <v>17</v>
      </c>
      <c r="F98" s="1" t="s">
        <v>28</v>
      </c>
    </row>
    <row r="99" customFormat="false" ht="15" hidden="false" customHeight="true" outlineLevel="0" collapsed="false">
      <c r="A99" s="16" t="n">
        <v>46108</v>
      </c>
      <c r="B99" s="1" t="s">
        <v>34</v>
      </c>
      <c r="C99" s="17" t="n">
        <v>12383.52</v>
      </c>
      <c r="D99" s="1" t="s">
        <v>54</v>
      </c>
      <c r="E99" s="1" t="s">
        <v>17</v>
      </c>
      <c r="F99" s="1" t="s">
        <v>28</v>
      </c>
    </row>
    <row r="100" customFormat="false" ht="15" hidden="false" customHeight="true" outlineLevel="0" collapsed="false">
      <c r="A100" s="16" t="n">
        <v>46111</v>
      </c>
      <c r="B100" s="1" t="s">
        <v>34</v>
      </c>
      <c r="C100" s="17" t="n">
        <v>68960</v>
      </c>
      <c r="D100" s="1" t="s">
        <v>53</v>
      </c>
      <c r="E100" s="1" t="s">
        <v>17</v>
      </c>
      <c r="F100" s="1" t="s">
        <v>28</v>
      </c>
    </row>
    <row r="101" customFormat="false" ht="15" hidden="false" customHeight="true" outlineLevel="0" collapsed="false">
      <c r="A101" s="16" t="n">
        <v>46111</v>
      </c>
      <c r="B101" s="1" t="s">
        <v>34</v>
      </c>
      <c r="C101" s="17" t="n">
        <v>13460</v>
      </c>
      <c r="D101" s="1" t="s">
        <v>53</v>
      </c>
      <c r="E101" s="1" t="s">
        <v>17</v>
      </c>
      <c r="F101" s="1" t="s">
        <v>28</v>
      </c>
    </row>
    <row r="102" customFormat="false" ht="15" hidden="false" customHeight="true" outlineLevel="0" collapsed="false">
      <c r="A102" s="16" t="n">
        <v>46111</v>
      </c>
      <c r="B102" s="1" t="s">
        <v>35</v>
      </c>
      <c r="C102" s="17" t="n">
        <v>63220</v>
      </c>
      <c r="D102" s="1" t="s">
        <v>54</v>
      </c>
      <c r="E102" s="1" t="s">
        <v>19</v>
      </c>
      <c r="F102" s="1" t="s">
        <v>29</v>
      </c>
    </row>
    <row r="103" customFormat="false" ht="15" hidden="false" customHeight="true" outlineLevel="0" collapsed="false">
      <c r="A103" s="16" t="n">
        <v>46111</v>
      </c>
      <c r="B103" s="18" t="s">
        <v>44</v>
      </c>
      <c r="C103" s="17" t="n">
        <v>20567.47</v>
      </c>
      <c r="D103" s="1" t="s">
        <v>54</v>
      </c>
    </row>
    <row r="104" customFormat="false" ht="15" hidden="false" customHeight="true" outlineLevel="0" collapsed="false">
      <c r="A104" s="16" t="n">
        <v>46111</v>
      </c>
      <c r="B104" s="1" t="s">
        <v>34</v>
      </c>
      <c r="C104" s="17" t="n">
        <v>29320</v>
      </c>
      <c r="D104" s="1" t="s">
        <v>53</v>
      </c>
      <c r="E104" s="1" t="s">
        <v>17</v>
      </c>
      <c r="F104" s="1" t="s">
        <v>28</v>
      </c>
    </row>
    <row r="105" customFormat="false" ht="15" hidden="false" customHeight="true" outlineLevel="0" collapsed="false">
      <c r="A105" s="16" t="n">
        <v>46112</v>
      </c>
      <c r="B105" s="1" t="s">
        <v>35</v>
      </c>
      <c r="C105" s="17" t="n">
        <v>43200</v>
      </c>
      <c r="D105" s="1" t="s">
        <v>58</v>
      </c>
      <c r="E105" s="1" t="s">
        <v>19</v>
      </c>
      <c r="F105" s="1" t="s">
        <v>29</v>
      </c>
    </row>
    <row r="106" customFormat="false" ht="15" hidden="false" customHeight="true" outlineLevel="0" collapsed="false">
      <c r="A106" s="16" t="n">
        <v>46113</v>
      </c>
      <c r="B106" s="1" t="s">
        <v>37</v>
      </c>
      <c r="C106" s="17" t="n">
        <v>8700</v>
      </c>
      <c r="D106" s="1" t="s">
        <v>54</v>
      </c>
      <c r="E106" s="1" t="s">
        <v>20</v>
      </c>
      <c r="F106" s="1" t="s">
        <v>28</v>
      </c>
    </row>
    <row r="107" customFormat="false" ht="15" hidden="false" customHeight="true" outlineLevel="0" collapsed="false">
      <c r="A107" s="16" t="n">
        <v>46113</v>
      </c>
      <c r="B107" s="1" t="s">
        <v>39</v>
      </c>
      <c r="C107" s="17" t="n">
        <v>4490</v>
      </c>
      <c r="D107" s="1" t="s">
        <v>54</v>
      </c>
      <c r="E107" s="1" t="s">
        <v>18</v>
      </c>
      <c r="F107" s="1" t="s">
        <v>31</v>
      </c>
    </row>
    <row r="108" customFormat="false" ht="15" hidden="false" customHeight="true" outlineLevel="0" collapsed="false">
      <c r="A108" s="16" t="n">
        <v>46113</v>
      </c>
      <c r="B108" s="1" t="s">
        <v>39</v>
      </c>
      <c r="C108" s="17" t="n">
        <v>17930</v>
      </c>
      <c r="D108" s="1" t="s">
        <v>57</v>
      </c>
      <c r="E108" s="1" t="s">
        <v>18</v>
      </c>
      <c r="F108" s="1" t="s">
        <v>31</v>
      </c>
    </row>
    <row r="109" customFormat="false" ht="15" hidden="false" customHeight="true" outlineLevel="0" collapsed="false">
      <c r="A109" s="16" t="n">
        <v>46114</v>
      </c>
      <c r="B109" s="1" t="s">
        <v>34</v>
      </c>
      <c r="C109" s="17" t="n">
        <v>34481.73</v>
      </c>
      <c r="D109" s="1" t="s">
        <v>53</v>
      </c>
      <c r="E109" s="1" t="s">
        <v>17</v>
      </c>
      <c r="F109" s="1" t="s">
        <v>28</v>
      </c>
    </row>
    <row r="110" customFormat="false" ht="15" hidden="false" customHeight="true" outlineLevel="0" collapsed="false">
      <c r="A110" s="16" t="n">
        <v>46114</v>
      </c>
      <c r="B110" s="1" t="s">
        <v>41</v>
      </c>
      <c r="C110" s="17" t="n">
        <v>9590</v>
      </c>
      <c r="D110" s="1" t="s">
        <v>54</v>
      </c>
      <c r="E110" s="1" t="s">
        <v>23</v>
      </c>
      <c r="F110" s="1" t="s">
        <v>31</v>
      </c>
    </row>
    <row r="111" customFormat="false" ht="15" hidden="false" customHeight="true" outlineLevel="0" collapsed="false">
      <c r="A111" s="16" t="n">
        <v>46115</v>
      </c>
      <c r="B111" s="1" t="s">
        <v>35</v>
      </c>
      <c r="C111" s="17" t="n">
        <v>18340</v>
      </c>
      <c r="D111" s="1" t="s">
        <v>57</v>
      </c>
      <c r="E111" s="1" t="s">
        <v>19</v>
      </c>
      <c r="F111" s="1" t="s">
        <v>29</v>
      </c>
    </row>
    <row r="112" customFormat="false" ht="15" hidden="false" customHeight="true" outlineLevel="0" collapsed="false">
      <c r="A112" s="16" t="n">
        <v>46115</v>
      </c>
      <c r="B112" s="1" t="s">
        <v>36</v>
      </c>
      <c r="C112" s="17" t="n">
        <v>29185.53</v>
      </c>
      <c r="D112" s="1" t="s">
        <v>53</v>
      </c>
      <c r="E112" s="1" t="s">
        <v>18</v>
      </c>
      <c r="F112" s="1" t="s">
        <v>30</v>
      </c>
    </row>
    <row r="113" customFormat="false" ht="15" hidden="false" customHeight="true" outlineLevel="0" collapsed="false">
      <c r="A113" s="16" t="n">
        <v>46117</v>
      </c>
      <c r="B113" s="1" t="s">
        <v>39</v>
      </c>
      <c r="C113" s="17" t="n">
        <v>7170</v>
      </c>
      <c r="D113" s="1" t="s">
        <v>58</v>
      </c>
      <c r="E113" s="1" t="s">
        <v>18</v>
      </c>
      <c r="F113" s="1" t="s">
        <v>31</v>
      </c>
    </row>
    <row r="114" customFormat="false" ht="15" hidden="false" customHeight="true" outlineLevel="0" collapsed="false">
      <c r="A114" s="16" t="n">
        <v>46118</v>
      </c>
      <c r="B114" s="1" t="s">
        <v>34</v>
      </c>
      <c r="C114" s="17" t="n">
        <v>69409.13</v>
      </c>
      <c r="D114" s="1" t="s">
        <v>53</v>
      </c>
      <c r="E114" s="1" t="s">
        <v>17</v>
      </c>
      <c r="F114" s="1" t="s">
        <v>28</v>
      </c>
    </row>
    <row r="115" customFormat="false" ht="15" hidden="false" customHeight="true" outlineLevel="0" collapsed="false">
      <c r="A115" s="16" t="n">
        <v>46118</v>
      </c>
      <c r="B115" s="1" t="s">
        <v>38</v>
      </c>
      <c r="C115" s="17" t="n">
        <v>38860</v>
      </c>
      <c r="D115" s="1" t="s">
        <v>54</v>
      </c>
      <c r="E115" s="1" t="s">
        <v>21</v>
      </c>
      <c r="F115" s="1" t="s">
        <v>29</v>
      </c>
    </row>
    <row r="116" customFormat="false" ht="15" hidden="false" customHeight="true" outlineLevel="0" collapsed="false">
      <c r="A116" s="16" t="n">
        <v>46118</v>
      </c>
      <c r="B116" s="1" t="s">
        <v>34</v>
      </c>
      <c r="C116" s="17" t="n">
        <v>94000</v>
      </c>
      <c r="D116" s="1" t="s">
        <v>54</v>
      </c>
      <c r="E116" s="1" t="s">
        <v>17</v>
      </c>
      <c r="F116" s="1" t="s">
        <v>28</v>
      </c>
    </row>
    <row r="117" customFormat="false" ht="15" hidden="false" customHeight="true" outlineLevel="0" collapsed="false">
      <c r="A117" s="16" t="n">
        <v>46119</v>
      </c>
      <c r="B117" s="1" t="s">
        <v>34</v>
      </c>
      <c r="C117" s="17" t="n">
        <v>14880</v>
      </c>
      <c r="D117" s="1" t="s">
        <v>54</v>
      </c>
      <c r="E117" s="1" t="s">
        <v>17</v>
      </c>
      <c r="F117" s="1" t="s">
        <v>28</v>
      </c>
    </row>
    <row r="118" customFormat="false" ht="15" hidden="false" customHeight="true" outlineLevel="0" collapsed="false">
      <c r="A118" s="16" t="n">
        <v>46119</v>
      </c>
      <c r="B118" s="1" t="s">
        <v>35</v>
      </c>
      <c r="C118" s="17" t="n">
        <v>36220</v>
      </c>
      <c r="D118" s="1" t="s">
        <v>58</v>
      </c>
      <c r="E118" s="1" t="s">
        <v>19</v>
      </c>
      <c r="F118" s="1" t="s">
        <v>29</v>
      </c>
    </row>
    <row r="119" customFormat="false" ht="15" hidden="false" customHeight="true" outlineLevel="0" collapsed="false">
      <c r="A119" s="16" t="n">
        <v>46121</v>
      </c>
      <c r="B119" s="1" t="s">
        <v>37</v>
      </c>
      <c r="C119" s="17" t="n">
        <v>17380</v>
      </c>
      <c r="D119" s="1" t="s">
        <v>55</v>
      </c>
      <c r="E119" s="1" t="s">
        <v>20</v>
      </c>
      <c r="F119" s="1" t="s">
        <v>28</v>
      </c>
    </row>
    <row r="120" customFormat="false" ht="15" hidden="false" customHeight="true" outlineLevel="0" collapsed="false">
      <c r="A120" s="16" t="n">
        <v>46121</v>
      </c>
      <c r="B120" s="1" t="s">
        <v>42</v>
      </c>
      <c r="C120" s="17" t="n">
        <v>1410</v>
      </c>
      <c r="D120" s="1" t="s">
        <v>53</v>
      </c>
      <c r="E120" s="1" t="s">
        <v>25</v>
      </c>
      <c r="F120" s="1" t="s">
        <v>32</v>
      </c>
    </row>
    <row r="121" customFormat="false" ht="15" hidden="false" customHeight="true" outlineLevel="0" collapsed="false">
      <c r="A121" s="16" t="n">
        <v>46122</v>
      </c>
      <c r="B121" s="1" t="s">
        <v>37</v>
      </c>
      <c r="C121" s="17" t="n">
        <v>22390</v>
      </c>
      <c r="D121" s="1" t="s">
        <v>54</v>
      </c>
      <c r="E121" s="1" t="s">
        <v>20</v>
      </c>
      <c r="F121" s="1" t="s">
        <v>28</v>
      </c>
    </row>
    <row r="122" customFormat="false" ht="15" hidden="false" customHeight="true" outlineLevel="0" collapsed="false">
      <c r="A122" s="16" t="n">
        <v>46122</v>
      </c>
      <c r="B122" s="1" t="s">
        <v>47</v>
      </c>
      <c r="C122" s="17" t="n">
        <v>450</v>
      </c>
      <c r="D122" s="1" t="s">
        <v>54</v>
      </c>
      <c r="E122" s="1" t="s">
        <v>26</v>
      </c>
      <c r="F122" s="1" t="s">
        <v>32</v>
      </c>
    </row>
    <row r="123" customFormat="false" ht="15" hidden="false" customHeight="true" outlineLevel="0" collapsed="false">
      <c r="A123" s="16" t="n">
        <v>46122</v>
      </c>
      <c r="B123" s="1" t="s">
        <v>34</v>
      </c>
      <c r="C123" s="17" t="n">
        <v>30898.49</v>
      </c>
      <c r="D123" s="1" t="s">
        <v>53</v>
      </c>
      <c r="E123" s="1" t="s">
        <v>17</v>
      </c>
      <c r="F123" s="1" t="s">
        <v>28</v>
      </c>
    </row>
    <row r="124" customFormat="false" ht="15" hidden="false" customHeight="true" outlineLevel="0" collapsed="false">
      <c r="A124" s="16" t="n">
        <v>46122</v>
      </c>
      <c r="B124" s="1" t="s">
        <v>42</v>
      </c>
      <c r="C124" s="17" t="n">
        <v>1690</v>
      </c>
      <c r="D124" s="1" t="s">
        <v>54</v>
      </c>
      <c r="E124" s="1" t="s">
        <v>25</v>
      </c>
      <c r="F124" s="1" t="s">
        <v>32</v>
      </c>
    </row>
    <row r="125" customFormat="false" ht="15" hidden="false" customHeight="true" outlineLevel="0" collapsed="false">
      <c r="A125" s="16" t="n">
        <v>46122</v>
      </c>
      <c r="B125" s="1" t="s">
        <v>39</v>
      </c>
      <c r="C125" s="17" t="n">
        <v>10450</v>
      </c>
      <c r="D125" s="1" t="s">
        <v>54</v>
      </c>
      <c r="E125" s="1" t="s">
        <v>18</v>
      </c>
      <c r="F125" s="1" t="s">
        <v>31</v>
      </c>
    </row>
    <row r="126" customFormat="false" ht="15" hidden="false" customHeight="true" outlineLevel="0" collapsed="false">
      <c r="A126" s="16" t="n">
        <v>46125</v>
      </c>
      <c r="B126" s="1" t="s">
        <v>47</v>
      </c>
      <c r="C126" s="17" t="n">
        <v>1660</v>
      </c>
      <c r="D126" s="1" t="s">
        <v>54</v>
      </c>
      <c r="E126" s="1" t="s">
        <v>26</v>
      </c>
      <c r="F126" s="1" t="s">
        <v>32</v>
      </c>
    </row>
    <row r="127" customFormat="false" ht="15" hidden="false" customHeight="true" outlineLevel="0" collapsed="false">
      <c r="A127" s="16" t="n">
        <v>46126</v>
      </c>
      <c r="B127" s="1" t="s">
        <v>37</v>
      </c>
      <c r="C127" s="17" t="n">
        <v>8891.33</v>
      </c>
      <c r="D127" s="1" t="s">
        <v>54</v>
      </c>
      <c r="E127" s="1" t="s">
        <v>20</v>
      </c>
      <c r="F127" s="1" t="s">
        <v>28</v>
      </c>
    </row>
    <row r="128" customFormat="false" ht="15" hidden="false" customHeight="true" outlineLevel="0" collapsed="false">
      <c r="A128" s="16" t="n">
        <v>46127</v>
      </c>
      <c r="B128" s="1" t="s">
        <v>34</v>
      </c>
      <c r="C128" s="17" t="n">
        <v>39712.69</v>
      </c>
      <c r="D128" s="1" t="s">
        <v>54</v>
      </c>
      <c r="E128" s="1" t="s">
        <v>17</v>
      </c>
      <c r="F128" s="1" t="s">
        <v>28</v>
      </c>
    </row>
    <row r="129" customFormat="false" ht="15" hidden="false" customHeight="true" outlineLevel="0" collapsed="false">
      <c r="A129" s="16" t="n">
        <v>46127</v>
      </c>
      <c r="B129" s="1" t="s">
        <v>36</v>
      </c>
      <c r="C129" s="17" t="n">
        <v>50320</v>
      </c>
      <c r="D129" s="1" t="s">
        <v>55</v>
      </c>
      <c r="E129" s="1" t="s">
        <v>18</v>
      </c>
      <c r="F129" s="1" t="s">
        <v>30</v>
      </c>
    </row>
    <row r="130" customFormat="false" ht="15" hidden="false" customHeight="true" outlineLevel="0" collapsed="false">
      <c r="A130" s="16" t="n">
        <v>46129</v>
      </c>
      <c r="B130" s="1" t="s">
        <v>34</v>
      </c>
      <c r="C130" s="17" t="n">
        <v>33820</v>
      </c>
      <c r="D130" s="1" t="s">
        <v>58</v>
      </c>
      <c r="E130" s="1" t="s">
        <v>17</v>
      </c>
      <c r="F130" s="1" t="s">
        <v>28</v>
      </c>
    </row>
    <row r="131" customFormat="false" ht="15" hidden="false" customHeight="true" outlineLevel="0" collapsed="false">
      <c r="A131" s="16" t="n">
        <v>46129</v>
      </c>
      <c r="B131" s="1" t="s">
        <v>38</v>
      </c>
      <c r="C131" s="17" t="n">
        <v>26590</v>
      </c>
      <c r="D131" s="1" t="s">
        <v>54</v>
      </c>
      <c r="E131" s="1" t="s">
        <v>21</v>
      </c>
      <c r="F131" s="1" t="s">
        <v>29</v>
      </c>
    </row>
    <row r="132" customFormat="false" ht="15" hidden="false" customHeight="true" outlineLevel="0" collapsed="false">
      <c r="A132" s="16" t="n">
        <v>46129</v>
      </c>
      <c r="B132" s="1" t="s">
        <v>39</v>
      </c>
      <c r="C132" s="17" t="n">
        <v>4990</v>
      </c>
      <c r="D132" s="1" t="s">
        <v>54</v>
      </c>
      <c r="E132" s="1" t="s">
        <v>18</v>
      </c>
      <c r="F132" s="1" t="s">
        <v>31</v>
      </c>
    </row>
    <row r="133" customFormat="false" ht="15" hidden="false" customHeight="true" outlineLevel="0" collapsed="false">
      <c r="A133" s="16" t="n">
        <v>46129</v>
      </c>
      <c r="B133" s="1" t="s">
        <v>41</v>
      </c>
      <c r="C133" s="17" t="n">
        <v>4090</v>
      </c>
      <c r="D133" s="1" t="s">
        <v>54</v>
      </c>
      <c r="E133" s="1" t="s">
        <v>23</v>
      </c>
      <c r="F133" s="1" t="s">
        <v>31</v>
      </c>
    </row>
    <row r="134" customFormat="false" ht="15" hidden="false" customHeight="true" outlineLevel="0" collapsed="false">
      <c r="A134" s="16" t="n">
        <v>46129</v>
      </c>
      <c r="B134" s="1" t="s">
        <v>39</v>
      </c>
      <c r="C134" s="17" t="n">
        <v>10620</v>
      </c>
      <c r="D134" s="1" t="s">
        <v>53</v>
      </c>
      <c r="E134" s="1" t="s">
        <v>18</v>
      </c>
      <c r="F134" s="1" t="s">
        <v>31</v>
      </c>
    </row>
    <row r="135" customFormat="false" ht="15" hidden="false" customHeight="true" outlineLevel="0" collapsed="false">
      <c r="A135" s="16" t="n">
        <v>46132</v>
      </c>
      <c r="B135" s="1" t="s">
        <v>39</v>
      </c>
      <c r="C135" s="17" t="n">
        <v>14340</v>
      </c>
      <c r="D135" s="1" t="s">
        <v>55</v>
      </c>
      <c r="E135" s="1" t="s">
        <v>18</v>
      </c>
      <c r="F135" s="1" t="s">
        <v>31</v>
      </c>
    </row>
    <row r="136" customFormat="false" ht="15" hidden="false" customHeight="true" outlineLevel="0" collapsed="false">
      <c r="A136" s="16" t="n">
        <v>46132</v>
      </c>
      <c r="B136" s="1" t="s">
        <v>34</v>
      </c>
      <c r="C136" s="17" t="n">
        <v>27860</v>
      </c>
      <c r="D136" s="1" t="s">
        <v>53</v>
      </c>
      <c r="E136" s="1" t="s">
        <v>17</v>
      </c>
      <c r="F136" s="1" t="s">
        <v>28</v>
      </c>
    </row>
    <row r="137" customFormat="false" ht="15" hidden="false" customHeight="true" outlineLevel="0" collapsed="false">
      <c r="A137" s="16" t="n">
        <v>46133</v>
      </c>
      <c r="B137" s="1" t="s">
        <v>41</v>
      </c>
      <c r="C137" s="17" t="n">
        <v>3820</v>
      </c>
      <c r="D137" s="1" t="s">
        <v>54</v>
      </c>
      <c r="E137" s="1" t="s">
        <v>23</v>
      </c>
      <c r="F137" s="1" t="s">
        <v>31</v>
      </c>
    </row>
    <row r="138" customFormat="false" ht="15" hidden="false" customHeight="true" outlineLevel="0" collapsed="false">
      <c r="A138" s="16" t="n">
        <v>46135</v>
      </c>
      <c r="B138" s="1" t="s">
        <v>35</v>
      </c>
      <c r="C138" s="17" t="n">
        <v>9090</v>
      </c>
      <c r="D138" s="1" t="s">
        <v>55</v>
      </c>
      <c r="E138" s="1" t="s">
        <v>19</v>
      </c>
      <c r="F138" s="1" t="s">
        <v>29</v>
      </c>
    </row>
    <row r="139" customFormat="false" ht="15" hidden="false" customHeight="true" outlineLevel="0" collapsed="false">
      <c r="A139" s="16" t="n">
        <v>46137</v>
      </c>
      <c r="B139" s="1" t="s">
        <v>41</v>
      </c>
      <c r="C139" s="17" t="n">
        <v>16220</v>
      </c>
      <c r="D139" s="1" t="s">
        <v>54</v>
      </c>
      <c r="E139" s="1" t="s">
        <v>23</v>
      </c>
      <c r="F139" s="1" t="s">
        <v>31</v>
      </c>
    </row>
    <row r="140" customFormat="false" ht="15" hidden="false" customHeight="true" outlineLevel="0" collapsed="false">
      <c r="A140" s="16" t="n">
        <v>46138</v>
      </c>
      <c r="B140" s="1" t="s">
        <v>47</v>
      </c>
      <c r="C140" s="17" t="n">
        <v>674.96</v>
      </c>
      <c r="D140" s="1" t="s">
        <v>58</v>
      </c>
      <c r="E140" s="1" t="s">
        <v>26</v>
      </c>
      <c r="F140" s="1" t="s">
        <v>32</v>
      </c>
    </row>
    <row r="141" customFormat="false" ht="15" hidden="false" customHeight="true" outlineLevel="0" collapsed="false">
      <c r="A141" s="16" t="n">
        <v>46140</v>
      </c>
      <c r="B141" s="1" t="s">
        <v>38</v>
      </c>
      <c r="C141" s="17" t="n">
        <v>19793.9</v>
      </c>
      <c r="D141" s="1" t="s">
        <v>53</v>
      </c>
      <c r="E141" s="1" t="s">
        <v>21</v>
      </c>
      <c r="F141" s="1" t="s">
        <v>29</v>
      </c>
    </row>
    <row r="142" customFormat="false" ht="15" hidden="false" customHeight="true" outlineLevel="0" collapsed="false">
      <c r="A142" s="16" t="n">
        <v>46140</v>
      </c>
      <c r="B142" s="1" t="s">
        <v>35</v>
      </c>
      <c r="C142" s="17" t="n">
        <v>25453.69</v>
      </c>
      <c r="D142" s="1" t="s">
        <v>53</v>
      </c>
      <c r="E142" s="1" t="s">
        <v>19</v>
      </c>
      <c r="F142" s="1" t="s">
        <v>29</v>
      </c>
    </row>
    <row r="143" customFormat="false" ht="15" hidden="false" customHeight="true" outlineLevel="0" collapsed="false">
      <c r="A143" s="16" t="n">
        <v>46140</v>
      </c>
      <c r="B143" s="1" t="s">
        <v>37</v>
      </c>
      <c r="C143" s="17" t="n">
        <v>6070</v>
      </c>
      <c r="D143" s="1" t="s">
        <v>54</v>
      </c>
      <c r="E143" s="1" t="s">
        <v>20</v>
      </c>
      <c r="F143" s="1" t="s">
        <v>28</v>
      </c>
    </row>
    <row r="144" customFormat="false" ht="15" hidden="false" customHeight="true" outlineLevel="0" collapsed="false">
      <c r="A144" s="16" t="n">
        <v>46141</v>
      </c>
      <c r="B144" s="1" t="s">
        <v>37</v>
      </c>
      <c r="C144" s="17" t="n">
        <v>92996.86</v>
      </c>
      <c r="D144" s="1" t="s">
        <v>53</v>
      </c>
      <c r="E144" s="1" t="s">
        <v>20</v>
      </c>
      <c r="F144" s="1" t="s">
        <v>28</v>
      </c>
    </row>
    <row r="145" customFormat="false" ht="15" hidden="false" customHeight="true" outlineLevel="0" collapsed="false">
      <c r="A145" s="16" t="n">
        <v>46143</v>
      </c>
      <c r="B145" s="1" t="s">
        <v>35</v>
      </c>
      <c r="C145" s="17" t="n">
        <v>16070</v>
      </c>
      <c r="D145" s="1" t="s">
        <v>58</v>
      </c>
      <c r="E145" s="1" t="s">
        <v>19</v>
      </c>
      <c r="F145" s="1" t="s">
        <v>29</v>
      </c>
    </row>
    <row r="146" customFormat="false" ht="15" hidden="false" customHeight="true" outlineLevel="0" collapsed="false">
      <c r="A146" s="16" t="n">
        <v>46143</v>
      </c>
      <c r="B146" s="1" t="s">
        <v>35</v>
      </c>
      <c r="C146" s="17" t="n">
        <v>34070</v>
      </c>
      <c r="D146" s="1" t="s">
        <v>53</v>
      </c>
      <c r="E146" s="1" t="s">
        <v>19</v>
      </c>
      <c r="F146" s="1" t="s">
        <v>29</v>
      </c>
    </row>
    <row r="147" customFormat="false" ht="15" hidden="false" customHeight="true" outlineLevel="0" collapsed="false">
      <c r="A147" s="16" t="n">
        <v>46143</v>
      </c>
      <c r="B147" s="1" t="s">
        <v>35</v>
      </c>
      <c r="C147" s="17" t="n">
        <v>14070</v>
      </c>
      <c r="D147" s="1" t="s">
        <v>54</v>
      </c>
      <c r="E147" s="1" t="s">
        <v>19</v>
      </c>
      <c r="F147" s="1" t="s">
        <v>29</v>
      </c>
    </row>
    <row r="148" customFormat="false" ht="15" hidden="false" customHeight="true" outlineLevel="0" collapsed="false">
      <c r="A148" s="16" t="n">
        <v>46145</v>
      </c>
      <c r="B148" s="1" t="s">
        <v>34</v>
      </c>
      <c r="C148" s="17" t="n">
        <v>28530</v>
      </c>
      <c r="D148" s="1" t="s">
        <v>53</v>
      </c>
      <c r="E148" s="1" t="s">
        <v>17</v>
      </c>
      <c r="F148" s="1" t="s">
        <v>28</v>
      </c>
    </row>
    <row r="149" customFormat="false" ht="15" hidden="false" customHeight="true" outlineLevel="0" collapsed="false">
      <c r="A149" s="16" t="n">
        <v>46147</v>
      </c>
      <c r="B149" s="1" t="s">
        <v>36</v>
      </c>
      <c r="C149" s="17" t="n">
        <v>9670</v>
      </c>
      <c r="D149" s="1" t="s">
        <v>53</v>
      </c>
      <c r="E149" s="1" t="s">
        <v>18</v>
      </c>
      <c r="F149" s="1" t="s">
        <v>30</v>
      </c>
    </row>
    <row r="150" customFormat="false" ht="15" hidden="false" customHeight="true" outlineLevel="0" collapsed="false">
      <c r="A150" s="16" t="n">
        <v>46148</v>
      </c>
      <c r="B150" s="1" t="s">
        <v>36</v>
      </c>
      <c r="C150" s="17" t="n">
        <v>21930</v>
      </c>
      <c r="D150" s="1" t="s">
        <v>54</v>
      </c>
      <c r="E150" s="1" t="s">
        <v>18</v>
      </c>
      <c r="F150" s="1" t="s">
        <v>30</v>
      </c>
    </row>
    <row r="151" customFormat="false" ht="15" hidden="false" customHeight="true" outlineLevel="0" collapsed="false">
      <c r="A151" s="16" t="n">
        <v>46149</v>
      </c>
      <c r="B151" s="1" t="s">
        <v>36</v>
      </c>
      <c r="C151" s="17" t="n">
        <v>21470.33</v>
      </c>
      <c r="D151" s="1" t="s">
        <v>54</v>
      </c>
      <c r="E151" s="1" t="s">
        <v>18</v>
      </c>
      <c r="F151" s="1" t="s">
        <v>30</v>
      </c>
    </row>
    <row r="152" customFormat="false" ht="15" hidden="false" customHeight="true" outlineLevel="0" collapsed="false">
      <c r="A152" s="16" t="n">
        <v>46149</v>
      </c>
      <c r="B152" s="1" t="s">
        <v>38</v>
      </c>
      <c r="C152" s="17" t="n">
        <v>8930</v>
      </c>
      <c r="D152" s="1" t="s">
        <v>54</v>
      </c>
      <c r="E152" s="1" t="s">
        <v>21</v>
      </c>
      <c r="F152" s="1" t="s">
        <v>29</v>
      </c>
    </row>
    <row r="153" customFormat="false" ht="15" hidden="false" customHeight="true" outlineLevel="0" collapsed="false">
      <c r="A153" s="16" t="n">
        <v>46149</v>
      </c>
      <c r="B153" s="1" t="s">
        <v>38</v>
      </c>
      <c r="C153" s="17" t="n">
        <v>19760</v>
      </c>
      <c r="D153" s="1" t="s">
        <v>54</v>
      </c>
      <c r="E153" s="1" t="s">
        <v>21</v>
      </c>
      <c r="F153" s="1" t="s">
        <v>29</v>
      </c>
    </row>
    <row r="154" customFormat="false" ht="15" hidden="false" customHeight="true" outlineLevel="0" collapsed="false">
      <c r="A154" s="16" t="n">
        <v>46149</v>
      </c>
      <c r="B154" s="1" t="s">
        <v>34</v>
      </c>
      <c r="C154" s="17" t="n">
        <v>30480</v>
      </c>
      <c r="D154" s="1" t="s">
        <v>58</v>
      </c>
      <c r="E154" s="1" t="s">
        <v>17</v>
      </c>
      <c r="F154" s="1" t="s">
        <v>28</v>
      </c>
    </row>
    <row r="155" customFormat="false" ht="15" hidden="false" customHeight="true" outlineLevel="0" collapsed="false">
      <c r="A155" s="16" t="n">
        <v>46150</v>
      </c>
      <c r="B155" s="1" t="s">
        <v>37</v>
      </c>
      <c r="C155" s="17" t="n">
        <v>19810</v>
      </c>
      <c r="D155" s="1" t="s">
        <v>54</v>
      </c>
      <c r="E155" s="1" t="s">
        <v>20</v>
      </c>
      <c r="F155" s="1" t="s">
        <v>28</v>
      </c>
    </row>
    <row r="156" customFormat="false" ht="15" hidden="false" customHeight="true" outlineLevel="0" collapsed="false">
      <c r="A156" s="16" t="n">
        <v>46150</v>
      </c>
      <c r="B156" s="1" t="s">
        <v>37</v>
      </c>
      <c r="C156" s="17" t="n">
        <v>17310</v>
      </c>
      <c r="D156" s="1" t="s">
        <v>54</v>
      </c>
      <c r="E156" s="1" t="s">
        <v>20</v>
      </c>
      <c r="F156" s="1" t="s">
        <v>28</v>
      </c>
    </row>
    <row r="157" customFormat="false" ht="15" hidden="false" customHeight="true" outlineLevel="0" collapsed="false">
      <c r="A157" s="16" t="n">
        <v>46150</v>
      </c>
      <c r="B157" s="1" t="s">
        <v>37</v>
      </c>
      <c r="C157" s="17" t="n">
        <v>27110</v>
      </c>
      <c r="D157" s="1" t="s">
        <v>53</v>
      </c>
      <c r="E157" s="1" t="s">
        <v>20</v>
      </c>
      <c r="F157" s="1" t="s">
        <v>28</v>
      </c>
    </row>
    <row r="158" customFormat="false" ht="15" hidden="false" customHeight="true" outlineLevel="0" collapsed="false">
      <c r="A158" s="16" t="n">
        <v>46153</v>
      </c>
      <c r="B158" s="1" t="s">
        <v>40</v>
      </c>
      <c r="C158" s="17" t="n">
        <v>27015.3</v>
      </c>
      <c r="D158" s="1" t="s">
        <v>54</v>
      </c>
      <c r="E158" s="1" t="s">
        <v>22</v>
      </c>
      <c r="F158" s="1" t="s">
        <v>30</v>
      </c>
    </row>
    <row r="159" customFormat="false" ht="15" hidden="false" customHeight="true" outlineLevel="0" collapsed="false">
      <c r="A159" s="16" t="n">
        <v>46153</v>
      </c>
      <c r="B159" s="1" t="s">
        <v>34</v>
      </c>
      <c r="C159" s="17" t="n">
        <v>20910</v>
      </c>
      <c r="D159" s="1" t="s">
        <v>54</v>
      </c>
      <c r="E159" s="1" t="s">
        <v>17</v>
      </c>
      <c r="F159" s="1" t="s">
        <v>28</v>
      </c>
    </row>
    <row r="160" customFormat="false" ht="15" hidden="false" customHeight="true" outlineLevel="0" collapsed="false">
      <c r="A160" s="16" t="n">
        <v>46154</v>
      </c>
      <c r="B160" s="1" t="s">
        <v>38</v>
      </c>
      <c r="C160" s="17" t="n">
        <v>12350</v>
      </c>
      <c r="D160" s="1" t="s">
        <v>53</v>
      </c>
      <c r="E160" s="1" t="s">
        <v>21</v>
      </c>
      <c r="F160" s="1" t="s">
        <v>29</v>
      </c>
    </row>
    <row r="161" customFormat="false" ht="15" hidden="false" customHeight="true" outlineLevel="0" collapsed="false">
      <c r="A161" s="16" t="n">
        <v>46155</v>
      </c>
      <c r="B161" s="1" t="s">
        <v>37</v>
      </c>
      <c r="C161" s="17" t="n">
        <v>12606.74</v>
      </c>
      <c r="D161" s="1" t="s">
        <v>54</v>
      </c>
      <c r="E161" s="1" t="s">
        <v>20</v>
      </c>
      <c r="F161" s="1" t="s">
        <v>28</v>
      </c>
    </row>
    <row r="162" customFormat="false" ht="15" hidden="false" customHeight="true" outlineLevel="0" collapsed="false">
      <c r="A162" s="16" t="n">
        <v>46155</v>
      </c>
      <c r="B162" s="1" t="s">
        <v>38</v>
      </c>
      <c r="C162" s="17" t="n">
        <v>4150</v>
      </c>
      <c r="D162" s="1" t="s">
        <v>57</v>
      </c>
      <c r="E162" s="1" t="s">
        <v>21</v>
      </c>
      <c r="F162" s="1" t="s">
        <v>29</v>
      </c>
    </row>
    <row r="163" customFormat="false" ht="15" hidden="false" customHeight="true" outlineLevel="0" collapsed="false">
      <c r="A163" s="16" t="n">
        <v>46156</v>
      </c>
      <c r="B163" s="1" t="s">
        <v>39</v>
      </c>
      <c r="C163" s="17" t="n">
        <v>6983</v>
      </c>
      <c r="D163" s="1" t="s">
        <v>55</v>
      </c>
      <c r="E163" s="1" t="s">
        <v>18</v>
      </c>
      <c r="F163" s="1" t="s">
        <v>31</v>
      </c>
    </row>
    <row r="164" customFormat="false" ht="15" hidden="false" customHeight="true" outlineLevel="0" collapsed="false">
      <c r="A164" s="16" t="n">
        <v>46157</v>
      </c>
      <c r="B164" s="1" t="s">
        <v>38</v>
      </c>
      <c r="C164" s="17" t="n">
        <v>15890</v>
      </c>
      <c r="D164" s="1" t="s">
        <v>54</v>
      </c>
      <c r="E164" s="1" t="s">
        <v>21</v>
      </c>
      <c r="F164" s="1" t="s">
        <v>29</v>
      </c>
    </row>
    <row r="165" customFormat="false" ht="15" hidden="false" customHeight="true" outlineLevel="0" collapsed="false">
      <c r="A165" s="16" t="n">
        <v>46161</v>
      </c>
      <c r="B165" s="1" t="s">
        <v>39</v>
      </c>
      <c r="C165" s="17" t="n">
        <v>4170</v>
      </c>
      <c r="D165" s="1" t="s">
        <v>53</v>
      </c>
      <c r="E165" s="1" t="s">
        <v>18</v>
      </c>
      <c r="F165" s="1" t="s">
        <v>31</v>
      </c>
    </row>
    <row r="166" customFormat="false" ht="15" hidden="false" customHeight="true" outlineLevel="0" collapsed="false">
      <c r="A166" s="16" t="n">
        <v>46161</v>
      </c>
      <c r="B166" s="1" t="s">
        <v>38</v>
      </c>
      <c r="C166" s="17" t="n">
        <v>14809.45</v>
      </c>
      <c r="D166" s="1" t="s">
        <v>58</v>
      </c>
      <c r="E166" s="1" t="s">
        <v>21</v>
      </c>
      <c r="F166" s="1" t="s">
        <v>29</v>
      </c>
    </row>
    <row r="167" customFormat="false" ht="15" hidden="false" customHeight="true" outlineLevel="0" collapsed="false">
      <c r="A167" s="16" t="n">
        <v>46161</v>
      </c>
      <c r="B167" s="1" t="s">
        <v>40</v>
      </c>
      <c r="C167" s="17" t="n">
        <v>2696.29</v>
      </c>
      <c r="D167" s="1" t="s">
        <v>54</v>
      </c>
      <c r="E167" s="1" t="s">
        <v>22</v>
      </c>
      <c r="F167" s="1" t="s">
        <v>30</v>
      </c>
    </row>
    <row r="168" customFormat="false" ht="15" hidden="false" customHeight="true" outlineLevel="0" collapsed="false">
      <c r="A168" s="16" t="n">
        <v>46162</v>
      </c>
      <c r="B168" s="1" t="s">
        <v>39</v>
      </c>
      <c r="C168" s="17" t="n">
        <v>6320</v>
      </c>
      <c r="D168" s="1" t="s">
        <v>54</v>
      </c>
      <c r="E168" s="1" t="s">
        <v>18</v>
      </c>
      <c r="F168" s="1" t="s">
        <v>31</v>
      </c>
    </row>
    <row r="169" customFormat="false" ht="15" hidden="false" customHeight="true" outlineLevel="0" collapsed="false">
      <c r="A169" s="16" t="n">
        <v>46163</v>
      </c>
      <c r="B169" s="1" t="s">
        <v>35</v>
      </c>
      <c r="C169" s="17" t="n">
        <v>37894.99</v>
      </c>
      <c r="D169" s="1" t="s">
        <v>54</v>
      </c>
      <c r="E169" s="1" t="s">
        <v>19</v>
      </c>
      <c r="F169" s="1" t="s">
        <v>29</v>
      </c>
    </row>
    <row r="170" customFormat="false" ht="15" hidden="false" customHeight="true" outlineLevel="0" collapsed="false">
      <c r="A170" s="16" t="n">
        <v>46163</v>
      </c>
      <c r="B170" s="1" t="s">
        <v>34</v>
      </c>
      <c r="C170" s="17" t="n">
        <v>21320</v>
      </c>
      <c r="D170" s="1" t="s">
        <v>54</v>
      </c>
      <c r="E170" s="1" t="s">
        <v>17</v>
      </c>
      <c r="F170" s="1" t="s">
        <v>28</v>
      </c>
    </row>
    <row r="171" customFormat="false" ht="15" hidden="false" customHeight="true" outlineLevel="0" collapsed="false">
      <c r="A171" s="16" t="n">
        <v>46163</v>
      </c>
      <c r="B171" s="1" t="s">
        <v>34</v>
      </c>
      <c r="C171" s="17" t="n">
        <v>24330</v>
      </c>
      <c r="D171" s="1" t="s">
        <v>54</v>
      </c>
      <c r="E171" s="1" t="s">
        <v>17</v>
      </c>
      <c r="F171" s="1" t="s">
        <v>28</v>
      </c>
    </row>
    <row r="172" customFormat="false" ht="15" hidden="false" customHeight="true" outlineLevel="0" collapsed="false">
      <c r="A172" s="16" t="n">
        <v>46163</v>
      </c>
      <c r="B172" s="1" t="s">
        <v>47</v>
      </c>
      <c r="C172" s="17" t="n">
        <v>380</v>
      </c>
      <c r="D172" s="1" t="s">
        <v>53</v>
      </c>
      <c r="E172" s="1" t="s">
        <v>26</v>
      </c>
      <c r="F172" s="1" t="s">
        <v>32</v>
      </c>
    </row>
    <row r="173" customFormat="false" ht="15" hidden="false" customHeight="true" outlineLevel="0" collapsed="false">
      <c r="A173" s="16" t="n">
        <v>46164</v>
      </c>
      <c r="B173" s="1" t="s">
        <v>34</v>
      </c>
      <c r="C173" s="17" t="n">
        <v>16480</v>
      </c>
      <c r="D173" s="1" t="s">
        <v>54</v>
      </c>
      <c r="E173" s="1" t="s">
        <v>17</v>
      </c>
      <c r="F173" s="1" t="s">
        <v>28</v>
      </c>
    </row>
    <row r="174" customFormat="false" ht="15" hidden="false" customHeight="true" outlineLevel="0" collapsed="false">
      <c r="A174" s="16" t="n">
        <v>46167</v>
      </c>
      <c r="B174" s="1" t="s">
        <v>34</v>
      </c>
      <c r="C174" s="17" t="n">
        <v>10990</v>
      </c>
      <c r="D174" s="1" t="s">
        <v>54</v>
      </c>
      <c r="E174" s="1" t="s">
        <v>17</v>
      </c>
      <c r="F174" s="1" t="s">
        <v>28</v>
      </c>
    </row>
    <row r="175" customFormat="false" ht="15" hidden="false" customHeight="true" outlineLevel="0" collapsed="false">
      <c r="A175" s="16" t="n">
        <v>46169</v>
      </c>
      <c r="B175" s="1" t="s">
        <v>40</v>
      </c>
      <c r="C175" s="17" t="n">
        <v>7912.5</v>
      </c>
      <c r="D175" s="1" t="s">
        <v>58</v>
      </c>
      <c r="E175" s="1" t="s">
        <v>22</v>
      </c>
      <c r="F175" s="1" t="s">
        <v>30</v>
      </c>
    </row>
    <row r="176" customFormat="false" ht="15" hidden="false" customHeight="true" outlineLevel="0" collapsed="false">
      <c r="A176" s="16" t="n">
        <v>46171</v>
      </c>
      <c r="B176" s="1" t="s">
        <v>42</v>
      </c>
      <c r="C176" s="17" t="n">
        <v>3694.5</v>
      </c>
      <c r="D176" s="1" t="s">
        <v>57</v>
      </c>
      <c r="E176" s="1" t="s">
        <v>25</v>
      </c>
      <c r="F176" s="1" t="s">
        <v>32</v>
      </c>
    </row>
    <row r="177" customFormat="false" ht="15" hidden="false" customHeight="true" outlineLevel="0" collapsed="false">
      <c r="A177" s="16" t="n">
        <v>46171</v>
      </c>
      <c r="B177" s="1" t="s">
        <v>36</v>
      </c>
      <c r="C177" s="17" t="n">
        <v>33365.19</v>
      </c>
      <c r="D177" s="1" t="s">
        <v>55</v>
      </c>
      <c r="E177" s="1" t="s">
        <v>18</v>
      </c>
      <c r="F177" s="1" t="s">
        <v>30</v>
      </c>
    </row>
    <row r="178" customFormat="false" ht="15" hidden="false" customHeight="true" outlineLevel="0" collapsed="false">
      <c r="A178" s="16" t="n">
        <v>46173</v>
      </c>
      <c r="B178" s="1" t="s">
        <v>42</v>
      </c>
      <c r="C178" s="17" t="n">
        <v>5240</v>
      </c>
      <c r="D178" s="1" t="s">
        <v>54</v>
      </c>
      <c r="E178" s="1" t="s">
        <v>25</v>
      </c>
      <c r="F178" s="1" t="s">
        <v>32</v>
      </c>
    </row>
    <row r="179" customFormat="false" ht="15" hidden="false" customHeight="true" outlineLevel="0" collapsed="false">
      <c r="A179" s="16" t="n">
        <v>46173</v>
      </c>
      <c r="B179" s="1" t="s">
        <v>36</v>
      </c>
      <c r="C179" s="17" t="n">
        <v>28860</v>
      </c>
      <c r="D179" s="1" t="s">
        <v>54</v>
      </c>
      <c r="E179" s="1" t="s">
        <v>18</v>
      </c>
      <c r="F179" s="1" t="s">
        <v>30</v>
      </c>
    </row>
    <row r="180" customFormat="false" ht="15" hidden="false" customHeight="true" outlineLevel="0" collapsed="false">
      <c r="A180" s="16" t="n">
        <v>46174</v>
      </c>
      <c r="B180" s="1" t="s">
        <v>42</v>
      </c>
      <c r="C180" s="17" t="n">
        <v>1130</v>
      </c>
      <c r="D180" s="1" t="s">
        <v>53</v>
      </c>
      <c r="E180" s="1" t="s">
        <v>25</v>
      </c>
      <c r="F180" s="1" t="s">
        <v>32</v>
      </c>
    </row>
    <row r="181" customFormat="false" ht="15" hidden="false" customHeight="true" outlineLevel="0" collapsed="false">
      <c r="A181" s="16" t="n">
        <v>46174</v>
      </c>
      <c r="B181" s="1" t="s">
        <v>35</v>
      </c>
      <c r="C181" s="17" t="n">
        <v>12610</v>
      </c>
      <c r="D181" s="1" t="s">
        <v>54</v>
      </c>
      <c r="E181" s="1" t="s">
        <v>19</v>
      </c>
      <c r="F181" s="1" t="s">
        <v>29</v>
      </c>
    </row>
    <row r="182" customFormat="false" ht="15" hidden="false" customHeight="true" outlineLevel="0" collapsed="false">
      <c r="A182" s="16" t="n">
        <v>46177</v>
      </c>
      <c r="B182" s="1" t="s">
        <v>39</v>
      </c>
      <c r="C182" s="17" t="n">
        <v>3480.53</v>
      </c>
      <c r="D182" s="1" t="s">
        <v>54</v>
      </c>
      <c r="E182" s="1" t="s">
        <v>18</v>
      </c>
      <c r="F182" s="1" t="s">
        <v>31</v>
      </c>
    </row>
    <row r="183" customFormat="false" ht="15" hidden="false" customHeight="true" outlineLevel="0" collapsed="false">
      <c r="A183" s="16" t="n">
        <v>46178</v>
      </c>
      <c r="B183" s="1" t="s">
        <v>36</v>
      </c>
      <c r="C183" s="17" t="n">
        <v>18980</v>
      </c>
      <c r="D183" s="1" t="s">
        <v>53</v>
      </c>
      <c r="E183" s="1" t="s">
        <v>18</v>
      </c>
      <c r="F183" s="1" t="s">
        <v>30</v>
      </c>
    </row>
    <row r="184" customFormat="false" ht="15" hidden="false" customHeight="true" outlineLevel="0" collapsed="false">
      <c r="A184" s="16" t="n">
        <v>46178</v>
      </c>
      <c r="B184" s="1" t="s">
        <v>34</v>
      </c>
      <c r="C184" s="17" t="n">
        <v>13830</v>
      </c>
      <c r="D184" s="1" t="s">
        <v>54</v>
      </c>
      <c r="E184" s="1" t="s">
        <v>17</v>
      </c>
      <c r="F184" s="1" t="s">
        <v>28</v>
      </c>
    </row>
    <row r="185" customFormat="false" ht="15" hidden="false" customHeight="true" outlineLevel="0" collapsed="false">
      <c r="A185" s="16" t="n">
        <v>46178</v>
      </c>
      <c r="B185" s="1" t="s">
        <v>34</v>
      </c>
      <c r="C185" s="17" t="n">
        <v>22030</v>
      </c>
      <c r="D185" s="1" t="s">
        <v>54</v>
      </c>
      <c r="E185" s="1" t="s">
        <v>17</v>
      </c>
      <c r="F185" s="1" t="s">
        <v>28</v>
      </c>
    </row>
    <row r="186" customFormat="false" ht="15" hidden="false" customHeight="true" outlineLevel="0" collapsed="false">
      <c r="A186" s="16" t="n">
        <v>46181</v>
      </c>
      <c r="B186" s="1" t="s">
        <v>41</v>
      </c>
      <c r="C186" s="17" t="n">
        <v>5034.3</v>
      </c>
      <c r="D186" s="1" t="s">
        <v>53</v>
      </c>
      <c r="E186" s="1" t="s">
        <v>23</v>
      </c>
      <c r="F186" s="1" t="s">
        <v>31</v>
      </c>
    </row>
    <row r="187" customFormat="false" ht="15" hidden="false" customHeight="true" outlineLevel="0" collapsed="false">
      <c r="A187" s="16" t="n">
        <v>46181</v>
      </c>
      <c r="B187" s="1" t="s">
        <v>39</v>
      </c>
      <c r="C187" s="17" t="n">
        <v>18786.32</v>
      </c>
      <c r="D187" s="1" t="s">
        <v>54</v>
      </c>
      <c r="E187" s="1" t="s">
        <v>18</v>
      </c>
      <c r="F187" s="1" t="s">
        <v>31</v>
      </c>
    </row>
    <row r="188" customFormat="false" ht="15" hidden="false" customHeight="true" outlineLevel="0" collapsed="false">
      <c r="A188" s="16" t="n">
        <v>46181</v>
      </c>
      <c r="B188" s="1" t="s">
        <v>36</v>
      </c>
      <c r="C188" s="17" t="n">
        <v>60570</v>
      </c>
      <c r="D188" s="1" t="s">
        <v>55</v>
      </c>
      <c r="E188" s="1" t="s">
        <v>18</v>
      </c>
      <c r="F188" s="1" t="s">
        <v>30</v>
      </c>
    </row>
    <row r="189" customFormat="false" ht="15" hidden="false" customHeight="true" outlineLevel="0" collapsed="false">
      <c r="A189" s="16" t="n">
        <v>46182</v>
      </c>
      <c r="B189" s="1" t="s">
        <v>36</v>
      </c>
      <c r="C189" s="17" t="n">
        <v>50100</v>
      </c>
      <c r="D189" s="1" t="s">
        <v>58</v>
      </c>
      <c r="E189" s="1" t="s">
        <v>18</v>
      </c>
      <c r="F189" s="1" t="s">
        <v>30</v>
      </c>
    </row>
    <row r="190" customFormat="false" ht="15" hidden="false" customHeight="true" outlineLevel="0" collapsed="false">
      <c r="A190" s="16" t="n">
        <v>46183</v>
      </c>
      <c r="B190" s="1" t="s">
        <v>35</v>
      </c>
      <c r="C190" s="17" t="n">
        <v>25375.67</v>
      </c>
      <c r="D190" s="1" t="s">
        <v>58</v>
      </c>
      <c r="E190" s="1" t="s">
        <v>19</v>
      </c>
      <c r="F190" s="1" t="s">
        <v>29</v>
      </c>
    </row>
    <row r="191" customFormat="false" ht="15" hidden="false" customHeight="true" outlineLevel="0" collapsed="false">
      <c r="A191" s="16" t="n">
        <v>46183</v>
      </c>
      <c r="B191" s="1" t="s">
        <v>35</v>
      </c>
      <c r="C191" s="17" t="n">
        <v>26980</v>
      </c>
      <c r="D191" s="1" t="s">
        <v>55</v>
      </c>
      <c r="E191" s="1" t="s">
        <v>19</v>
      </c>
      <c r="F191" s="1" t="s">
        <v>29</v>
      </c>
    </row>
    <row r="192" customFormat="false" ht="15" hidden="false" customHeight="true" outlineLevel="0" collapsed="false">
      <c r="A192" s="16" t="n">
        <v>46185</v>
      </c>
      <c r="B192" s="1" t="s">
        <v>36</v>
      </c>
      <c r="C192" s="17" t="n">
        <v>12447.95</v>
      </c>
      <c r="D192" s="1" t="s">
        <v>54</v>
      </c>
      <c r="E192" s="1" t="s">
        <v>18</v>
      </c>
      <c r="F192" s="1" t="s">
        <v>30</v>
      </c>
    </row>
    <row r="193" customFormat="false" ht="15" hidden="false" customHeight="true" outlineLevel="0" collapsed="false">
      <c r="A193" s="16" t="n">
        <v>46185</v>
      </c>
      <c r="B193" s="1" t="s">
        <v>39</v>
      </c>
      <c r="C193" s="17" t="n">
        <v>8510</v>
      </c>
      <c r="D193" s="1" t="s">
        <v>53</v>
      </c>
      <c r="E193" s="1" t="s">
        <v>18</v>
      </c>
      <c r="F193" s="1" t="s">
        <v>31</v>
      </c>
    </row>
    <row r="194" customFormat="false" ht="15" hidden="false" customHeight="true" outlineLevel="0" collapsed="false">
      <c r="A194" s="16" t="n">
        <v>46185</v>
      </c>
      <c r="B194" s="1" t="s">
        <v>35</v>
      </c>
      <c r="C194" s="17" t="n">
        <v>24000</v>
      </c>
      <c r="D194" s="1" t="s">
        <v>54</v>
      </c>
      <c r="E194" s="1" t="s">
        <v>19</v>
      </c>
      <c r="F194" s="1" t="s">
        <v>29</v>
      </c>
    </row>
    <row r="195" customFormat="false" ht="15" hidden="false" customHeight="true" outlineLevel="0" collapsed="false">
      <c r="A195" s="16" t="n">
        <v>46186</v>
      </c>
      <c r="B195" s="1" t="s">
        <v>34</v>
      </c>
      <c r="C195" s="17" t="n">
        <v>30810</v>
      </c>
      <c r="D195" s="1" t="s">
        <v>53</v>
      </c>
      <c r="E195" s="1" t="s">
        <v>17</v>
      </c>
      <c r="F195" s="1" t="s">
        <v>28</v>
      </c>
    </row>
    <row r="196" customFormat="false" ht="15" hidden="false" customHeight="true" outlineLevel="0" collapsed="false">
      <c r="A196" s="16" t="n">
        <v>46187</v>
      </c>
      <c r="B196" s="1" t="s">
        <v>37</v>
      </c>
      <c r="C196" s="17" t="n">
        <v>6110</v>
      </c>
      <c r="D196" s="1" t="s">
        <v>58</v>
      </c>
      <c r="E196" s="1" t="s">
        <v>20</v>
      </c>
      <c r="F196" s="1" t="s">
        <v>28</v>
      </c>
    </row>
    <row r="197" customFormat="false" ht="15" hidden="false" customHeight="true" outlineLevel="0" collapsed="false">
      <c r="A197" s="16" t="n">
        <v>46188</v>
      </c>
      <c r="B197" s="1" t="s">
        <v>34</v>
      </c>
      <c r="C197" s="17" t="n">
        <v>32230</v>
      </c>
      <c r="D197" s="1" t="s">
        <v>58</v>
      </c>
      <c r="E197" s="1" t="s">
        <v>17</v>
      </c>
      <c r="F197" s="1" t="s">
        <v>28</v>
      </c>
    </row>
    <row r="198" customFormat="false" ht="15" hidden="false" customHeight="true" outlineLevel="0" collapsed="false">
      <c r="A198" s="16" t="n">
        <v>46189</v>
      </c>
      <c r="B198" s="1" t="s">
        <v>40</v>
      </c>
      <c r="C198" s="17" t="n">
        <v>20500</v>
      </c>
      <c r="D198" s="1" t="s">
        <v>58</v>
      </c>
      <c r="E198" s="1" t="s">
        <v>22</v>
      </c>
      <c r="F198" s="1" t="s">
        <v>30</v>
      </c>
    </row>
    <row r="199" customFormat="false" ht="15" hidden="false" customHeight="true" outlineLevel="0" collapsed="false">
      <c r="A199" s="16" t="n">
        <v>46190</v>
      </c>
      <c r="B199" s="1" t="s">
        <v>40</v>
      </c>
      <c r="C199" s="17" t="n">
        <v>4910</v>
      </c>
      <c r="D199" s="1" t="s">
        <v>54</v>
      </c>
      <c r="E199" s="1" t="s">
        <v>22</v>
      </c>
      <c r="F199" s="1" t="s">
        <v>30</v>
      </c>
    </row>
    <row r="200" customFormat="false" ht="15" hidden="false" customHeight="true" outlineLevel="0" collapsed="false">
      <c r="A200" s="16" t="n">
        <v>46191</v>
      </c>
      <c r="B200" s="1" t="s">
        <v>41</v>
      </c>
      <c r="C200" s="17" t="n">
        <v>12100</v>
      </c>
      <c r="D200" s="1" t="s">
        <v>54</v>
      </c>
      <c r="E200" s="1" t="s">
        <v>23</v>
      </c>
      <c r="F200" s="1" t="s">
        <v>31</v>
      </c>
    </row>
    <row r="201" customFormat="false" ht="15" hidden="false" customHeight="true" outlineLevel="0" collapsed="false">
      <c r="A201" s="16" t="n">
        <v>46191</v>
      </c>
      <c r="B201" s="1" t="s">
        <v>34</v>
      </c>
      <c r="C201" s="17" t="n">
        <v>20630</v>
      </c>
      <c r="D201" s="1" t="s">
        <v>58</v>
      </c>
      <c r="E201" s="1" t="s">
        <v>17</v>
      </c>
      <c r="F201" s="1" t="s">
        <v>28</v>
      </c>
    </row>
    <row r="202" customFormat="false" ht="15" hidden="false" customHeight="true" outlineLevel="0" collapsed="false">
      <c r="A202" s="16" t="n">
        <v>46192</v>
      </c>
      <c r="B202" s="1" t="s">
        <v>36</v>
      </c>
      <c r="C202" s="17" t="n">
        <v>11958.81</v>
      </c>
      <c r="D202" s="1" t="s">
        <v>54</v>
      </c>
      <c r="E202" s="1" t="s">
        <v>18</v>
      </c>
      <c r="F202" s="1" t="s">
        <v>30</v>
      </c>
    </row>
    <row r="203" customFormat="false" ht="15" hidden="false" customHeight="true" outlineLevel="0" collapsed="false">
      <c r="A203" s="16" t="n">
        <v>46192</v>
      </c>
      <c r="B203" s="1" t="s">
        <v>40</v>
      </c>
      <c r="C203" s="17" t="n">
        <v>9857.83</v>
      </c>
      <c r="D203" s="1" t="s">
        <v>54</v>
      </c>
      <c r="E203" s="1" t="s">
        <v>22</v>
      </c>
      <c r="F203" s="1" t="s">
        <v>30</v>
      </c>
    </row>
    <row r="204" customFormat="false" ht="15" hidden="false" customHeight="true" outlineLevel="0" collapsed="false">
      <c r="A204" s="16" t="n">
        <v>46192</v>
      </c>
      <c r="B204" s="1" t="s">
        <v>36</v>
      </c>
      <c r="C204" s="17" t="n">
        <v>31180</v>
      </c>
      <c r="D204" s="1" t="s">
        <v>53</v>
      </c>
      <c r="E204" s="1" t="s">
        <v>18</v>
      </c>
      <c r="F204" s="1" t="s">
        <v>30</v>
      </c>
    </row>
    <row r="205" customFormat="false" ht="15" hidden="false" customHeight="true" outlineLevel="0" collapsed="false">
      <c r="A205" s="16" t="n">
        <v>46194</v>
      </c>
      <c r="B205" s="1" t="s">
        <v>36</v>
      </c>
      <c r="C205" s="17" t="n">
        <v>8820</v>
      </c>
      <c r="D205" s="1" t="s">
        <v>54</v>
      </c>
      <c r="E205" s="1" t="s">
        <v>18</v>
      </c>
      <c r="F205" s="1" t="s">
        <v>30</v>
      </c>
    </row>
    <row r="206" customFormat="false" ht="15" hidden="false" customHeight="true" outlineLevel="0" collapsed="false">
      <c r="A206" s="16" t="n">
        <v>46196</v>
      </c>
      <c r="B206" s="1" t="s">
        <v>42</v>
      </c>
      <c r="C206" s="17" t="n">
        <v>4260</v>
      </c>
      <c r="D206" s="1" t="s">
        <v>57</v>
      </c>
      <c r="E206" s="1" t="s">
        <v>25</v>
      </c>
      <c r="F206" s="1" t="s">
        <v>32</v>
      </c>
    </row>
    <row r="207" customFormat="false" ht="15" hidden="false" customHeight="true" outlineLevel="0" collapsed="false">
      <c r="A207" s="16" t="n">
        <v>46196</v>
      </c>
      <c r="B207" s="1" t="s">
        <v>40</v>
      </c>
      <c r="C207" s="17" t="n">
        <v>7230</v>
      </c>
      <c r="D207" s="1" t="s">
        <v>54</v>
      </c>
      <c r="E207" s="1" t="s">
        <v>22</v>
      </c>
      <c r="F207" s="1" t="s">
        <v>30</v>
      </c>
    </row>
    <row r="208" customFormat="false" ht="15" hidden="false" customHeight="true" outlineLevel="0" collapsed="false">
      <c r="A208" s="16" t="n">
        <v>46196</v>
      </c>
      <c r="B208" s="1" t="s">
        <v>47</v>
      </c>
      <c r="C208" s="17" t="n">
        <v>505.33</v>
      </c>
      <c r="D208" s="1" t="s">
        <v>53</v>
      </c>
      <c r="E208" s="1" t="s">
        <v>26</v>
      </c>
      <c r="F208" s="1" t="s">
        <v>32</v>
      </c>
    </row>
    <row r="209" customFormat="false" ht="15" hidden="false" customHeight="true" outlineLevel="0" collapsed="false">
      <c r="A209" s="16" t="n">
        <v>46196</v>
      </c>
      <c r="B209" s="1" t="s">
        <v>34</v>
      </c>
      <c r="C209" s="17" t="n">
        <v>27770</v>
      </c>
      <c r="D209" s="1" t="s">
        <v>54</v>
      </c>
      <c r="E209" s="1" t="s">
        <v>17</v>
      </c>
      <c r="F209" s="1" t="s">
        <v>28</v>
      </c>
    </row>
    <row r="210" customFormat="false" ht="15" hidden="false" customHeight="true" outlineLevel="0" collapsed="false">
      <c r="A210" s="16" t="n">
        <v>46197</v>
      </c>
      <c r="B210" s="1" t="s">
        <v>35</v>
      </c>
      <c r="C210" s="17" t="n">
        <v>15000</v>
      </c>
      <c r="D210" s="1" t="s">
        <v>54</v>
      </c>
      <c r="E210" s="1" t="s">
        <v>19</v>
      </c>
      <c r="F210" s="1" t="s">
        <v>29</v>
      </c>
    </row>
    <row r="211" customFormat="false" ht="15" hidden="false" customHeight="true" outlineLevel="0" collapsed="false">
      <c r="A211" s="16" t="n">
        <v>46197</v>
      </c>
      <c r="B211" s="1" t="s">
        <v>37</v>
      </c>
      <c r="C211" s="17" t="n">
        <v>11085.02</v>
      </c>
      <c r="D211" s="1" t="s">
        <v>57</v>
      </c>
      <c r="E211" s="1" t="s">
        <v>20</v>
      </c>
      <c r="F211" s="1" t="s">
        <v>28</v>
      </c>
    </row>
    <row r="212" customFormat="false" ht="15" hidden="false" customHeight="true" outlineLevel="0" collapsed="false">
      <c r="A212" s="16" t="n">
        <v>46199</v>
      </c>
      <c r="B212" s="1" t="s">
        <v>34</v>
      </c>
      <c r="C212" s="17" t="n">
        <v>13576.46</v>
      </c>
      <c r="D212" s="1" t="s">
        <v>53</v>
      </c>
      <c r="E212" s="1" t="s">
        <v>17</v>
      </c>
      <c r="F212" s="1" t="s">
        <v>28</v>
      </c>
    </row>
    <row r="213" customFormat="false" ht="15" hidden="false" customHeight="true" outlineLevel="0" collapsed="false">
      <c r="A213" s="16" t="n">
        <v>46199</v>
      </c>
      <c r="B213" s="1" t="s">
        <v>47</v>
      </c>
      <c r="C213" s="17" t="n">
        <v>380</v>
      </c>
      <c r="D213" s="1" t="s">
        <v>55</v>
      </c>
      <c r="E213" s="1" t="s">
        <v>26</v>
      </c>
      <c r="F213" s="1" t="s">
        <v>32</v>
      </c>
    </row>
    <row r="214" customFormat="false" ht="15" hidden="false" customHeight="true" outlineLevel="0" collapsed="false">
      <c r="A214" s="16" t="n">
        <v>46199</v>
      </c>
      <c r="B214" s="1" t="s">
        <v>34</v>
      </c>
      <c r="C214" s="17" t="n">
        <v>18090</v>
      </c>
      <c r="D214" s="1" t="s">
        <v>55</v>
      </c>
      <c r="E214" s="1" t="s">
        <v>17</v>
      </c>
      <c r="F214" s="1" t="s">
        <v>28</v>
      </c>
    </row>
    <row r="215" customFormat="false" ht="15" hidden="false" customHeight="true" outlineLevel="0" collapsed="false">
      <c r="A215" s="16" t="n">
        <v>46200</v>
      </c>
      <c r="B215" s="1" t="s">
        <v>38</v>
      </c>
      <c r="C215" s="17" t="n">
        <v>43511.58</v>
      </c>
      <c r="D215" s="1" t="s">
        <v>54</v>
      </c>
      <c r="E215" s="1" t="s">
        <v>21</v>
      </c>
      <c r="F215" s="1" t="s">
        <v>29</v>
      </c>
    </row>
    <row r="216" customFormat="false" ht="15" hidden="false" customHeight="true" outlineLevel="0" collapsed="false">
      <c r="A216" s="16" t="n">
        <v>46200</v>
      </c>
      <c r="B216" s="1" t="s">
        <v>35</v>
      </c>
      <c r="C216" s="17" t="n">
        <v>8461.73</v>
      </c>
      <c r="D216" s="1" t="s">
        <v>54</v>
      </c>
      <c r="E216" s="1" t="s">
        <v>19</v>
      </c>
      <c r="F216" s="1" t="s">
        <v>29</v>
      </c>
    </row>
    <row r="217" customFormat="false" ht="15" hidden="false" customHeight="true" outlineLevel="0" collapsed="false">
      <c r="A217" s="16" t="n">
        <v>46201</v>
      </c>
      <c r="B217" s="1" t="s">
        <v>41</v>
      </c>
      <c r="C217" s="17" t="n">
        <v>4830</v>
      </c>
      <c r="D217" s="1" t="s">
        <v>54</v>
      </c>
      <c r="E217" s="1" t="s">
        <v>23</v>
      </c>
      <c r="F217" s="1" t="s">
        <v>31</v>
      </c>
    </row>
    <row r="218" customFormat="false" ht="15" hidden="false" customHeight="true" outlineLevel="0" collapsed="false">
      <c r="A218" s="16" t="n">
        <v>46202</v>
      </c>
      <c r="B218" s="1" t="s">
        <v>36</v>
      </c>
      <c r="C218" s="17" t="n">
        <v>29320</v>
      </c>
      <c r="D218" s="1" t="s">
        <v>57</v>
      </c>
      <c r="E218" s="1" t="s">
        <v>18</v>
      </c>
      <c r="F218" s="1" t="s">
        <v>30</v>
      </c>
    </row>
    <row r="219" customFormat="false" ht="15" hidden="false" customHeight="true" outlineLevel="0" collapsed="false">
      <c r="A219" s="16" t="n">
        <v>46202</v>
      </c>
      <c r="B219" s="1" t="s">
        <v>36</v>
      </c>
      <c r="C219" s="17" t="n">
        <v>8217.22</v>
      </c>
      <c r="D219" s="1" t="s">
        <v>54</v>
      </c>
      <c r="E219" s="1" t="s">
        <v>18</v>
      </c>
      <c r="F219" s="1" t="s">
        <v>30</v>
      </c>
    </row>
    <row r="220" customFormat="false" ht="15" hidden="false" customHeight="true" outlineLevel="0" collapsed="false">
      <c r="A220" s="16" t="n">
        <v>46202</v>
      </c>
      <c r="B220" s="1" t="s">
        <v>34</v>
      </c>
      <c r="C220" s="17" t="n">
        <v>7470</v>
      </c>
      <c r="D220" s="1" t="s">
        <v>54</v>
      </c>
      <c r="E220" s="1" t="s">
        <v>17</v>
      </c>
      <c r="F220" s="1" t="s">
        <v>28</v>
      </c>
    </row>
    <row r="221" customFormat="false" ht="15" hidden="false" customHeight="true" outlineLevel="0" collapsed="false">
      <c r="A221" s="16" t="n">
        <v>46202</v>
      </c>
      <c r="B221" s="1" t="s">
        <v>36</v>
      </c>
      <c r="C221" s="17" t="n">
        <v>15710</v>
      </c>
      <c r="D221" s="1" t="s">
        <v>54</v>
      </c>
      <c r="E221" s="1" t="s">
        <v>18</v>
      </c>
      <c r="F221" s="1" t="s">
        <v>30</v>
      </c>
    </row>
    <row r="222" customFormat="false" ht="15" hidden="false" customHeight="true" outlineLevel="0" collapsed="false">
      <c r="A222" s="16" t="n">
        <v>46202</v>
      </c>
      <c r="B222" s="1" t="s">
        <v>42</v>
      </c>
      <c r="C222" s="17" t="n">
        <v>3605.2</v>
      </c>
      <c r="D222" s="1" t="s">
        <v>53</v>
      </c>
      <c r="E222" s="1" t="s">
        <v>25</v>
      </c>
      <c r="F222" s="1" t="s">
        <v>32</v>
      </c>
    </row>
    <row r="223" customFormat="false" ht="15" hidden="false" customHeight="true" outlineLevel="0" collapsed="false">
      <c r="A223" s="16" t="n">
        <v>46203</v>
      </c>
      <c r="B223" s="1" t="s">
        <v>40</v>
      </c>
      <c r="C223" s="17" t="n">
        <v>5190</v>
      </c>
      <c r="D223" s="1" t="s">
        <v>55</v>
      </c>
      <c r="E223" s="1" t="s">
        <v>22</v>
      </c>
      <c r="F223" s="1" t="s">
        <v>30</v>
      </c>
    </row>
    <row r="224" customFormat="false" ht="15" hidden="false" customHeight="true" outlineLevel="0" collapsed="false">
      <c r="A224" s="16" t="n">
        <v>46203</v>
      </c>
      <c r="B224" s="1" t="s">
        <v>35</v>
      </c>
      <c r="C224" s="17" t="n">
        <v>24242.9</v>
      </c>
      <c r="D224" s="1" t="s">
        <v>54</v>
      </c>
      <c r="E224" s="1" t="s">
        <v>19</v>
      </c>
      <c r="F224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13" t="s">
        <v>59</v>
      </c>
    </row>
    <row r="2" customFormat="false" ht="15" hidden="false" customHeight="true" outlineLevel="0" collapsed="false">
      <c r="A2" s="14" t="s">
        <v>60</v>
      </c>
    </row>
    <row r="4" customFormat="false" ht="15" hidden="false" customHeight="true" outlineLevel="0" collapsed="false">
      <c r="A4" s="15" t="s">
        <v>33</v>
      </c>
      <c r="B4" s="15" t="s">
        <v>52</v>
      </c>
      <c r="C4" s="15" t="s">
        <v>27</v>
      </c>
    </row>
    <row r="5" customFormat="false" ht="15" hidden="false" customHeight="true" outlineLevel="0" collapsed="false">
      <c r="A5" s="19" t="s">
        <v>35</v>
      </c>
      <c r="B5" s="19" t="s">
        <v>19</v>
      </c>
      <c r="C5" s="19" t="s">
        <v>29</v>
      </c>
    </row>
    <row r="6" customFormat="false" ht="15" hidden="false" customHeight="true" outlineLevel="0" collapsed="false">
      <c r="A6" s="19" t="s">
        <v>36</v>
      </c>
      <c r="B6" s="19" t="s">
        <v>18</v>
      </c>
      <c r="C6" s="19" t="s">
        <v>30</v>
      </c>
    </row>
    <row r="7" customFormat="false" ht="15" hidden="false" customHeight="true" outlineLevel="0" collapsed="false">
      <c r="A7" s="19" t="s">
        <v>47</v>
      </c>
      <c r="B7" s="19" t="s">
        <v>26</v>
      </c>
      <c r="C7" s="19" t="s">
        <v>32</v>
      </c>
    </row>
    <row r="8" customFormat="false" ht="15" hidden="false" customHeight="true" outlineLevel="0" collapsed="false">
      <c r="A8" s="19" t="s">
        <v>38</v>
      </c>
      <c r="B8" s="19" t="s">
        <v>21</v>
      </c>
      <c r="C8" s="19" t="s">
        <v>29</v>
      </c>
    </row>
    <row r="9" customFormat="false" ht="15" hidden="false" customHeight="true" outlineLevel="0" collapsed="false">
      <c r="A9" s="19" t="s">
        <v>41</v>
      </c>
      <c r="B9" s="19" t="s">
        <v>23</v>
      </c>
      <c r="C9" s="19" t="s">
        <v>31</v>
      </c>
    </row>
    <row r="10" customFormat="false" ht="15" hidden="false" customHeight="true" outlineLevel="0" collapsed="false">
      <c r="A10" s="19" t="s">
        <v>37</v>
      </c>
      <c r="B10" s="19" t="s">
        <v>20</v>
      </c>
      <c r="C10" s="19" t="s">
        <v>28</v>
      </c>
    </row>
    <row r="11" customFormat="false" ht="15" hidden="false" customHeight="true" outlineLevel="0" collapsed="false">
      <c r="A11" s="19" t="s">
        <v>40</v>
      </c>
      <c r="B11" s="19" t="s">
        <v>22</v>
      </c>
      <c r="C11" s="19" t="s">
        <v>30</v>
      </c>
    </row>
    <row r="12" customFormat="false" ht="15" hidden="false" customHeight="true" outlineLevel="0" collapsed="false">
      <c r="A12" s="19" t="s">
        <v>42</v>
      </c>
      <c r="B12" s="19" t="s">
        <v>25</v>
      </c>
      <c r="C12" s="19" t="s">
        <v>32</v>
      </c>
    </row>
    <row r="13" customFormat="false" ht="15" hidden="false" customHeight="true" outlineLevel="0" collapsed="false">
      <c r="A13" s="19" t="s">
        <v>39</v>
      </c>
      <c r="B13" s="19" t="s">
        <v>18</v>
      </c>
      <c r="C13" s="19" t="s">
        <v>31</v>
      </c>
    </row>
    <row r="14" customFormat="false" ht="15" hidden="false" customHeight="true" outlineLevel="0" collapsed="false">
      <c r="A14" s="19" t="s">
        <v>34</v>
      </c>
      <c r="B14" s="19" t="s">
        <v>17</v>
      </c>
      <c r="C14" s="1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2026-07-15T19:29:34Z</dcterms:created>
  <dc:creator>openpyxl</dc:creator>
  <dc:description/>
  <dc:language>en-US</dc:language>
  <cp:lastModifiedBy/>
  <dcterms:modified xsi:type="dcterms:W3CDTF">2026-09-18T01:48:43Z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